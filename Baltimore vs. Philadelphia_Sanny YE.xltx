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14"/>
  <workbookPr refreshAllConnections="1" defaultThemeVersion="166925"/>
  <mc:AlternateContent xmlns:mc="http://schemas.openxmlformats.org/markup-compatibility/2006">
    <mc:Choice Requires="x15">
      <x15ac:absPath xmlns:x15ac="http://schemas.microsoft.com/office/spreadsheetml/2010/11/ac" url="/Users/sannyye/Desktop/"/>
    </mc:Choice>
  </mc:AlternateContent>
  <xr:revisionPtr revIDLastSave="0" documentId="13_ncr:1_{8D87D61A-62F9-474F-A6C7-C74CCEB22DDE}" xr6:coauthVersionLast="43" xr6:coauthVersionMax="43" xr10:uidLastSave="{00000000-0000-0000-0000-000000000000}"/>
  <bookViews>
    <workbookView xWindow="2020" yWindow="460" windowWidth="24920" windowHeight="16640" activeTab="3" xr2:uid="{00000000-000D-0000-FFFF-FFFF00000000}"/>
  </bookViews>
  <sheets>
    <sheet name="P_pivot FINAL" sheetId="17" r:id="rId1"/>
    <sheet name="B_pivot FINAL" sheetId="18" r:id="rId2"/>
    <sheet name="Philadelphia FINAL" sheetId="14" r:id="rId3"/>
    <sheet name="Baltimore FINAL" sheetId="15" r:id="rId4"/>
    <sheet name="Philly" sheetId="4" r:id="rId5"/>
    <sheet name="Bmore" sheetId="2" r:id="rId6"/>
    <sheet name="bmore_income" sheetId="8" r:id="rId7"/>
    <sheet name="Philly_income" sheetId="5" r:id="rId8"/>
  </sheets>
  <definedNames>
    <definedName name="_xlnm._FilterDatabase" localSheetId="5" hidden="1">Bmore!$H$2:$H$272</definedName>
    <definedName name="_xlnm._FilterDatabase" localSheetId="6" hidden="1">bmore_income!$G$2:$G$321</definedName>
    <definedName name="_xlnm._FilterDatabase" localSheetId="4" hidden="1">Philly!$A$1:$D$711</definedName>
    <definedName name="_xlnm._FilterDatabase" localSheetId="7" hidden="1">Philly_income!$G$2:$G$581</definedName>
  </definedNames>
  <calcPr calcId="191029"/>
  <pivotCaches>
    <pivotCache cacheId="17" r:id="rId9"/>
    <pivotCache cacheId="22" r:id="rId10"/>
  </pivotCaches>
  <fileRecoveryPr repair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4" i="15" l="1"/>
  <c r="G3" i="15"/>
  <c r="G4" i="14"/>
  <c r="G3" i="14"/>
  <c r="B134" i="18"/>
  <c r="B45" i="17"/>
  <c r="D484" i="4"/>
  <c r="D690" i="4"/>
  <c r="D693" i="4"/>
  <c r="D603" i="4"/>
  <c r="D281" i="4"/>
  <c r="D617" i="4"/>
  <c r="D696" i="4"/>
  <c r="D646" i="4"/>
  <c r="D289" i="4"/>
  <c r="D695" i="4"/>
  <c r="D671" i="4"/>
  <c r="D689" i="4"/>
  <c r="D35" i="4"/>
  <c r="D688" i="4"/>
  <c r="D674" i="4"/>
  <c r="D2" i="4"/>
  <c r="D697" i="4"/>
  <c r="D680" i="4"/>
  <c r="D102" i="4"/>
  <c r="D494" i="4"/>
  <c r="D692" i="4"/>
  <c r="D631" i="4"/>
  <c r="D614" i="4"/>
  <c r="D217" i="4"/>
  <c r="D307" i="4"/>
  <c r="D694" i="4"/>
  <c r="D79" i="4"/>
  <c r="D528" i="4"/>
  <c r="D667" i="4"/>
  <c r="D516" i="4"/>
  <c r="D368" i="4"/>
  <c r="D639" i="4"/>
  <c r="D678" i="4"/>
  <c r="D466" i="4"/>
  <c r="D162" i="4"/>
  <c r="D582" i="4"/>
  <c r="D576" i="4"/>
  <c r="D683" i="4"/>
  <c r="D570" i="4"/>
  <c r="D567" i="4"/>
  <c r="D285" i="4"/>
  <c r="D253" i="4"/>
  <c r="D550" i="4"/>
  <c r="D547" i="4"/>
  <c r="D544" i="4"/>
  <c r="D676" i="4"/>
  <c r="D537" i="4"/>
  <c r="D353" i="4"/>
  <c r="D351" i="4"/>
  <c r="D533" i="4"/>
  <c r="D529" i="4"/>
  <c r="D430" i="4"/>
  <c r="D527" i="4"/>
  <c r="D524" i="4"/>
  <c r="D372" i="4"/>
  <c r="D434" i="4"/>
  <c r="D507" i="4"/>
  <c r="D83" i="4"/>
  <c r="D496" i="4"/>
  <c r="D495" i="4"/>
  <c r="D204" i="4"/>
  <c r="D236" i="4"/>
  <c r="D276" i="4"/>
  <c r="D91" i="4"/>
  <c r="D596" i="4"/>
  <c r="D473" i="4"/>
  <c r="D468" i="4"/>
  <c r="D538" i="4"/>
  <c r="D459" i="4"/>
  <c r="D49" i="4"/>
  <c r="D446" i="4"/>
  <c r="D443" i="4"/>
  <c r="D441" i="4"/>
  <c r="D436" i="4"/>
  <c r="D137" i="4"/>
  <c r="D46" i="4"/>
  <c r="D17" i="4"/>
  <c r="D426" i="4"/>
  <c r="D278" i="4"/>
  <c r="D422" i="4"/>
  <c r="D25" i="4"/>
  <c r="D420" i="4"/>
  <c r="D419" i="4"/>
  <c r="D418" i="4"/>
  <c r="D416" i="4"/>
  <c r="D173" i="4"/>
  <c r="D410" i="4"/>
  <c r="D409" i="4"/>
  <c r="D407" i="4"/>
  <c r="D280" i="4"/>
  <c r="D206" i="4"/>
  <c r="D400" i="4"/>
  <c r="D132" i="4"/>
  <c r="D397" i="4"/>
  <c r="D189" i="4"/>
  <c r="D393" i="4"/>
  <c r="D390" i="4"/>
  <c r="D389" i="4"/>
  <c r="D388" i="4"/>
  <c r="D384" i="4"/>
  <c r="D383" i="4"/>
  <c r="D381" i="4"/>
  <c r="D76" i="4"/>
  <c r="D378" i="4"/>
  <c r="D376" i="4"/>
  <c r="D514" i="4"/>
  <c r="D373" i="4"/>
  <c r="D347" i="4"/>
  <c r="D371" i="4"/>
  <c r="D141" i="4"/>
  <c r="D123" i="4"/>
  <c r="D363" i="4"/>
  <c r="D379" i="4"/>
  <c r="D29" i="4"/>
  <c r="D357" i="4"/>
  <c r="D188" i="4"/>
  <c r="D177" i="4"/>
  <c r="D413" i="4"/>
  <c r="D349" i="4"/>
  <c r="D348" i="4"/>
  <c r="D340" i="4"/>
  <c r="D344" i="4"/>
  <c r="D85" i="4"/>
  <c r="D658" i="4"/>
  <c r="D534" i="4"/>
  <c r="D336" i="4"/>
  <c r="D332" i="4"/>
  <c r="D328" i="4"/>
  <c r="D326" i="4"/>
  <c r="D324" i="4"/>
  <c r="D321" i="4"/>
  <c r="D314" i="4"/>
  <c r="D491" i="4"/>
  <c r="D312" i="4"/>
  <c r="D311" i="4"/>
  <c r="D310" i="4"/>
  <c r="D11" i="4"/>
  <c r="D355" i="4"/>
  <c r="D305" i="4"/>
  <c r="D298" i="4"/>
  <c r="D297" i="4"/>
  <c r="D295" i="4"/>
  <c r="D293" i="4"/>
  <c r="D292" i="4"/>
  <c r="D449" i="4"/>
  <c r="D288" i="4"/>
  <c r="D618" i="4"/>
  <c r="D394" i="4"/>
  <c r="D230" i="4"/>
  <c r="D115" i="4"/>
  <c r="D58" i="4"/>
  <c r="D669" i="4"/>
  <c r="D608" i="4"/>
  <c r="D275" i="4"/>
  <c r="D274" i="4"/>
  <c r="D273" i="4"/>
  <c r="D272" i="4"/>
  <c r="D271" i="4"/>
  <c r="D628" i="4"/>
  <c r="D268" i="4"/>
  <c r="D266" i="4"/>
  <c r="D103" i="4"/>
  <c r="D641" i="4"/>
  <c r="D89" i="4"/>
  <c r="D260" i="4"/>
  <c r="D140" i="4"/>
  <c r="D257" i="4"/>
  <c r="D78" i="4"/>
  <c r="D255" i="4"/>
  <c r="D401" i="4"/>
  <c r="D252" i="4"/>
  <c r="D251" i="4"/>
  <c r="D250" i="4"/>
  <c r="D249" i="4"/>
  <c r="D244" i="4"/>
  <c r="D243" i="4"/>
  <c r="D242" i="4"/>
  <c r="D211" i="4"/>
  <c r="D240" i="4"/>
  <c r="D239" i="4"/>
  <c r="D478" i="4"/>
  <c r="D235" i="4"/>
  <c r="D232" i="4"/>
  <c r="D150" i="4"/>
  <c r="D229" i="4"/>
  <c r="D228" i="4"/>
  <c r="D226" i="4"/>
  <c r="D225" i="4"/>
  <c r="D65" i="4"/>
  <c r="D222" i="4"/>
  <c r="D220" i="4"/>
  <c r="D475" i="4"/>
  <c r="D218" i="4"/>
  <c r="D163" i="4"/>
  <c r="D216" i="4"/>
  <c r="D215" i="4"/>
  <c r="D213" i="4"/>
  <c r="D262" i="4"/>
  <c r="D32" i="4"/>
  <c r="D208" i="4"/>
  <c r="D207" i="4"/>
  <c r="D620" i="4"/>
  <c r="D205" i="4"/>
  <c r="D219" i="4"/>
  <c r="D203" i="4"/>
  <c r="D201" i="4"/>
  <c r="D200" i="4"/>
  <c r="D199" i="4"/>
  <c r="D194" i="4"/>
  <c r="D193" i="4"/>
  <c r="D192" i="4"/>
  <c r="D191" i="4"/>
  <c r="D190" i="4"/>
  <c r="D360" i="4"/>
  <c r="D398" i="4"/>
  <c r="D187" i="4"/>
  <c r="D186" i="4"/>
  <c r="D185" i="4"/>
  <c r="D183" i="4"/>
  <c r="D182" i="4"/>
  <c r="D181" i="4"/>
  <c r="D180" i="4"/>
  <c r="D179" i="4"/>
  <c r="D15" i="4"/>
  <c r="D404" i="4"/>
  <c r="D175" i="4"/>
  <c r="D174" i="4"/>
  <c r="D636" i="4"/>
  <c r="D679" i="4"/>
  <c r="D170" i="4"/>
  <c r="D168" i="4"/>
  <c r="D167" i="4"/>
  <c r="D166" i="4"/>
  <c r="D165" i="4"/>
  <c r="D164" i="4"/>
  <c r="D269" i="4"/>
  <c r="D657" i="4"/>
  <c r="D160" i="4"/>
  <c r="D156" i="4"/>
  <c r="D155" i="4"/>
  <c r="D154" i="4"/>
  <c r="D421" i="4"/>
  <c r="D149" i="4"/>
  <c r="D148" i="4"/>
  <c r="D147" i="4"/>
  <c r="D145" i="4"/>
  <c r="D144" i="4"/>
  <c r="D143" i="4"/>
  <c r="D142" i="4"/>
  <c r="D535" i="4"/>
  <c r="D573" i="4"/>
  <c r="D283" i="4"/>
  <c r="D136" i="4"/>
  <c r="D135" i="4"/>
  <c r="D134" i="4"/>
  <c r="D133" i="4"/>
  <c r="D308" i="4"/>
  <c r="D131" i="4"/>
  <c r="D130" i="4"/>
  <c r="D129" i="4"/>
  <c r="D128" i="4"/>
  <c r="D127" i="4"/>
  <c r="D126" i="4"/>
  <c r="D125" i="4"/>
  <c r="D223" i="4"/>
  <c r="D122" i="4"/>
  <c r="D121" i="4"/>
  <c r="D120" i="4"/>
  <c r="D119" i="4"/>
  <c r="D117" i="4"/>
  <c r="D116" i="4"/>
  <c r="D554" i="4"/>
  <c r="D114" i="4"/>
  <c r="D113" i="4"/>
  <c r="D112" i="4"/>
  <c r="D110" i="4"/>
  <c r="D108" i="4"/>
  <c r="D107" i="4"/>
  <c r="D106" i="4"/>
  <c r="D105" i="4"/>
  <c r="D104" i="4"/>
  <c r="D21" i="4"/>
  <c r="D36" i="4"/>
  <c r="D101" i="4"/>
  <c r="D100" i="4"/>
  <c r="D99" i="4"/>
  <c r="D98" i="4"/>
  <c r="D97" i="4"/>
  <c r="D95" i="4"/>
  <c r="D94" i="4"/>
  <c r="D92" i="4"/>
  <c r="D338" i="4"/>
  <c r="D90" i="4"/>
  <c r="D261" i="4"/>
  <c r="D87" i="4"/>
  <c r="D342" i="4"/>
  <c r="D313" i="4"/>
  <c r="D425" i="4"/>
  <c r="D82" i="4"/>
  <c r="D81" i="4"/>
  <c r="D24" i="4"/>
  <c r="D86" i="4"/>
  <c r="D361" i="4"/>
  <c r="D75" i="4"/>
  <c r="D74" i="4"/>
  <c r="D73" i="4"/>
  <c r="D72" i="4"/>
  <c r="D71" i="4"/>
  <c r="D70" i="4"/>
  <c r="D69" i="4"/>
  <c r="D68" i="4"/>
  <c r="D67" i="4"/>
  <c r="D66" i="4"/>
  <c r="D560" i="4"/>
  <c r="D64" i="4"/>
  <c r="D63" i="4"/>
  <c r="D62" i="4"/>
  <c r="D61" i="4"/>
  <c r="D59" i="4"/>
  <c r="D263" i="4"/>
  <c r="D57" i="4"/>
  <c r="D56" i="4"/>
  <c r="D55" i="4"/>
  <c r="D54" i="4"/>
  <c r="D53" i="4"/>
  <c r="D52" i="4"/>
  <c r="D51" i="4"/>
  <c r="D256" i="4"/>
  <c r="D48" i="4"/>
  <c r="D47" i="4"/>
  <c r="D172" i="4"/>
  <c r="D45" i="4"/>
  <c r="D44" i="4"/>
  <c r="D43" i="4"/>
  <c r="D42" i="4"/>
  <c r="D40" i="4"/>
  <c r="D39" i="4"/>
  <c r="D38" i="4"/>
  <c r="D37" i="4"/>
  <c r="D375" i="4"/>
  <c r="D505" i="4"/>
  <c r="D595" i="4"/>
  <c r="D178" i="4"/>
  <c r="D31" i="4"/>
  <c r="D30" i="4"/>
  <c r="D428" i="4"/>
  <c r="D28" i="4"/>
  <c r="D27" i="4"/>
  <c r="D26" i="4"/>
  <c r="D364" i="4"/>
  <c r="D258" i="4"/>
  <c r="D23" i="4"/>
  <c r="D22" i="4"/>
  <c r="D653" i="4"/>
  <c r="D20" i="4"/>
  <c r="D19" i="4"/>
  <c r="D18" i="4"/>
  <c r="D33" i="4"/>
  <c r="D16" i="4"/>
  <c r="D8" i="4"/>
  <c r="D14" i="4"/>
  <c r="D13" i="4"/>
  <c r="D12" i="4"/>
  <c r="D277" i="4"/>
  <c r="D10" i="4"/>
  <c r="D9" i="4"/>
  <c r="D212" i="4"/>
  <c r="D7" i="4"/>
  <c r="D5" i="4"/>
  <c r="D4" i="4"/>
  <c r="D3" i="4"/>
  <c r="D241" i="4"/>
  <c r="D17" i="2"/>
  <c r="D258" i="2" l="1"/>
  <c r="D269" i="2"/>
  <c r="D264" i="2"/>
  <c r="D266" i="2"/>
  <c r="D265" i="2"/>
  <c r="D263" i="2"/>
  <c r="D234" i="2"/>
  <c r="D262" i="2"/>
  <c r="D243" i="2"/>
  <c r="D252" i="2"/>
  <c r="D204" i="2"/>
  <c r="D224" i="2"/>
  <c r="D194" i="2"/>
  <c r="D58" i="2"/>
  <c r="D78" i="2"/>
  <c r="D156" i="2"/>
  <c r="D253" i="2"/>
  <c r="D165" i="2"/>
  <c r="D214" i="2"/>
  <c r="D227" i="2"/>
  <c r="D217" i="2"/>
  <c r="D144" i="2"/>
  <c r="D118" i="2"/>
  <c r="D241" i="2"/>
  <c r="D254" i="2"/>
  <c r="D208" i="2"/>
  <c r="D201" i="2"/>
  <c r="D240" i="2"/>
  <c r="D212" i="2"/>
  <c r="D238" i="2"/>
  <c r="D218" i="2"/>
  <c r="D211" i="2"/>
  <c r="D251" i="2"/>
  <c r="D32" i="2"/>
  <c r="D153" i="2"/>
  <c r="D250" i="2"/>
  <c r="D41" i="2"/>
  <c r="D229" i="2"/>
  <c r="D71" i="2"/>
  <c r="D220" i="2"/>
  <c r="D55" i="2"/>
  <c r="D160" i="2"/>
  <c r="D15" i="2"/>
  <c r="D236" i="2"/>
  <c r="D213" i="2"/>
  <c r="D225" i="2"/>
  <c r="D147" i="2"/>
  <c r="D222" i="2"/>
  <c r="D180" i="2"/>
  <c r="D130" i="2"/>
  <c r="D90" i="2"/>
  <c r="D183" i="2"/>
  <c r="D151" i="2"/>
  <c r="D207" i="2"/>
  <c r="D246" i="2"/>
  <c r="D11" i="2"/>
  <c r="D4" i="2"/>
  <c r="D149" i="2"/>
  <c r="D100" i="2"/>
  <c r="D142" i="2"/>
  <c r="D109" i="2"/>
  <c r="D177" i="2"/>
  <c r="D110" i="2"/>
  <c r="D193" i="2"/>
  <c r="D197" i="2"/>
  <c r="D126" i="2"/>
  <c r="D191" i="2"/>
  <c r="D175" i="2"/>
  <c r="D123" i="2"/>
  <c r="D3" i="2"/>
  <c r="D76" i="2"/>
  <c r="D133" i="2"/>
  <c r="D192" i="2"/>
  <c r="D146" i="2"/>
  <c r="D97" i="2"/>
  <c r="D181" i="2"/>
  <c r="D95" i="2"/>
  <c r="D115" i="2"/>
  <c r="D53" i="2"/>
  <c r="D23" i="2"/>
  <c r="D159" i="2"/>
  <c r="D98" i="2"/>
  <c r="D141" i="2"/>
  <c r="D242" i="2"/>
  <c r="D135" i="2"/>
  <c r="D189" i="2"/>
  <c r="D131" i="2"/>
  <c r="D122" i="2"/>
  <c r="D169" i="2"/>
  <c r="D6" i="2"/>
  <c r="D209" i="2"/>
  <c r="D186" i="2"/>
  <c r="D178" i="2"/>
  <c r="D72" i="2"/>
  <c r="D50" i="2"/>
  <c r="D127" i="2"/>
  <c r="D188" i="2"/>
  <c r="D7" i="2"/>
  <c r="D134" i="2"/>
  <c r="D65" i="2"/>
  <c r="D152" i="2"/>
  <c r="D125" i="2"/>
  <c r="D44" i="2"/>
  <c r="D136" i="2"/>
  <c r="D106" i="2"/>
  <c r="D108" i="2"/>
  <c r="D166" i="2"/>
  <c r="D120" i="2"/>
  <c r="D47" i="2"/>
  <c r="D96" i="2"/>
  <c r="D77" i="2"/>
  <c r="D63" i="2"/>
  <c r="D67" i="2"/>
  <c r="D18" i="2"/>
  <c r="D113" i="2"/>
  <c r="D5" i="2"/>
  <c r="D170" i="2"/>
  <c r="D162" i="2"/>
  <c r="D112" i="2"/>
  <c r="D56" i="2"/>
  <c r="D19" i="2"/>
  <c r="D59" i="2"/>
  <c r="D107" i="2"/>
  <c r="D102" i="2"/>
  <c r="D33" i="2"/>
  <c r="D31" i="2"/>
  <c r="D87" i="2"/>
  <c r="D54" i="2"/>
  <c r="D99" i="2"/>
  <c r="D82" i="2"/>
  <c r="D75" i="2"/>
  <c r="D121" i="2"/>
  <c r="D93" i="2"/>
  <c r="D137" i="2"/>
  <c r="D84" i="2"/>
  <c r="D124" i="2"/>
  <c r="D61" i="2"/>
  <c r="D92" i="2"/>
  <c r="D20" i="2"/>
  <c r="D80" i="2"/>
  <c r="D14" i="2"/>
  <c r="D34" i="2"/>
  <c r="D138" i="2"/>
  <c r="D57" i="2"/>
  <c r="D66" i="2"/>
  <c r="D83" i="2"/>
  <c r="D10" i="2"/>
  <c r="D28" i="2"/>
  <c r="D62" i="2"/>
  <c r="D68" i="2"/>
  <c r="D64" i="2"/>
  <c r="D39" i="2"/>
  <c r="D12" i="2"/>
  <c r="D114" i="2"/>
  <c r="D73" i="2"/>
  <c r="D8" i="2"/>
  <c r="D51" i="2"/>
  <c r="D27" i="2"/>
  <c r="D69" i="2"/>
  <c r="D9" i="2"/>
  <c r="D35" i="2"/>
  <c r="D30" i="2"/>
  <c r="D88" i="2"/>
  <c r="D22" i="2"/>
  <c r="D45" i="2"/>
  <c r="D81" i="2"/>
  <c r="D46" i="2"/>
  <c r="D40" i="2"/>
  <c r="D43" i="2"/>
  <c r="D24" i="2"/>
  <c r="D16" i="2"/>
  <c r="D25" i="2"/>
  <c r="D42" i="2"/>
  <c r="D48" i="2"/>
  <c r="D13" i="2"/>
  <c r="D89" i="2"/>
  <c r="D70" i="2"/>
  <c r="D38" i="2"/>
  <c r="D52" i="2"/>
  <c r="D117" i="2"/>
  <c r="D103" i="2"/>
  <c r="D37" i="2"/>
  <c r="D29" i="2"/>
  <c r="D49" i="2"/>
  <c r="D101" i="2"/>
  <c r="D60" i="2"/>
  <c r="D74" i="2"/>
  <c r="D2" i="2"/>
  <c r="D36" i="2"/>
  <c r="G3" i="8"/>
  <c r="G4" i="8"/>
  <c r="G5" i="8"/>
  <c r="G6" i="8"/>
  <c r="G7" i="8"/>
  <c r="G8" i="8"/>
  <c r="G9" i="8"/>
  <c r="G10" i="8"/>
  <c r="G11" i="8"/>
  <c r="G12" i="8"/>
  <c r="G13" i="8"/>
  <c r="G14" i="8"/>
  <c r="G15" i="8"/>
  <c r="G16" i="8"/>
  <c r="G17" i="8"/>
  <c r="G18" i="8"/>
  <c r="G19" i="8"/>
  <c r="G20" i="8"/>
  <c r="G21" i="8"/>
  <c r="G22" i="8"/>
  <c r="G23" i="8"/>
  <c r="G24" i="8"/>
  <c r="G25" i="8"/>
  <c r="G26" i="8"/>
  <c r="G27" i="8"/>
  <c r="G28" i="8"/>
  <c r="G29" i="8"/>
  <c r="G30" i="8"/>
  <c r="G31" i="8"/>
  <c r="G32" i="8"/>
  <c r="G33" i="8"/>
  <c r="G34" i="8"/>
  <c r="G35" i="8"/>
  <c r="G36" i="8"/>
  <c r="G37" i="8"/>
  <c r="G38" i="8"/>
  <c r="G39" i="8"/>
  <c r="G40" i="8"/>
  <c r="G41" i="8"/>
  <c r="G42" i="8"/>
  <c r="G43" i="8"/>
  <c r="G44" i="8"/>
  <c r="G45" i="8"/>
  <c r="G46" i="8"/>
  <c r="G47" i="8"/>
  <c r="G48" i="8"/>
  <c r="G49" i="8"/>
  <c r="G50" i="8"/>
  <c r="G51" i="8"/>
  <c r="G52" i="8"/>
  <c r="G53" i="8"/>
  <c r="G54" i="8"/>
  <c r="G55" i="8"/>
  <c r="G56" i="8"/>
  <c r="G57" i="8"/>
  <c r="G58" i="8"/>
  <c r="G59" i="8"/>
  <c r="G60" i="8"/>
  <c r="G61" i="8"/>
  <c r="G62" i="8"/>
  <c r="G63" i="8"/>
  <c r="G64" i="8"/>
  <c r="G65" i="8"/>
  <c r="G66" i="8"/>
  <c r="G67" i="8"/>
  <c r="G68" i="8"/>
  <c r="G69" i="8"/>
  <c r="G70" i="8"/>
  <c r="G71" i="8"/>
  <c r="G72" i="8"/>
  <c r="G73" i="8"/>
  <c r="G74" i="8"/>
  <c r="G75" i="8"/>
  <c r="G76" i="8"/>
  <c r="G77" i="8"/>
  <c r="G78" i="8"/>
  <c r="G79" i="8"/>
  <c r="G80" i="8"/>
  <c r="G81" i="8"/>
  <c r="G82" i="8"/>
  <c r="G83" i="8"/>
  <c r="G84" i="8"/>
  <c r="G85" i="8"/>
  <c r="G86" i="8"/>
  <c r="G87" i="8"/>
  <c r="G88" i="8"/>
  <c r="G89" i="8"/>
  <c r="G90" i="8"/>
  <c r="G91" i="8"/>
  <c r="G92" i="8"/>
  <c r="G93" i="8"/>
  <c r="G94" i="8"/>
  <c r="G95" i="8"/>
  <c r="G96" i="8"/>
  <c r="G97" i="8"/>
  <c r="G98" i="8"/>
  <c r="G99" i="8"/>
  <c r="G100" i="8"/>
  <c r="G101" i="8"/>
  <c r="G102" i="8"/>
  <c r="G103" i="8"/>
  <c r="G104" i="8"/>
  <c r="G105" i="8"/>
  <c r="G106" i="8"/>
  <c r="G107" i="8"/>
  <c r="G108" i="8"/>
  <c r="G109" i="8"/>
  <c r="G110" i="8"/>
  <c r="G111" i="8"/>
  <c r="G112" i="8"/>
  <c r="G113" i="8"/>
  <c r="G114" i="8"/>
  <c r="G115" i="8"/>
  <c r="G116" i="8"/>
  <c r="G117" i="8"/>
  <c r="G118" i="8"/>
  <c r="G119" i="8"/>
  <c r="G120" i="8"/>
  <c r="G121" i="8"/>
  <c r="G122" i="8"/>
  <c r="G123" i="8"/>
  <c r="G124" i="8"/>
  <c r="G125" i="8"/>
  <c r="G126" i="8"/>
  <c r="G127" i="8"/>
  <c r="G128" i="8"/>
  <c r="G129" i="8"/>
  <c r="G130" i="8"/>
  <c r="G131" i="8"/>
  <c r="G132" i="8"/>
  <c r="G133" i="8"/>
  <c r="G134" i="8"/>
  <c r="G135" i="8"/>
  <c r="G136" i="8"/>
  <c r="G137" i="8"/>
  <c r="G138" i="8"/>
  <c r="G139" i="8"/>
  <c r="G140" i="8"/>
  <c r="G141" i="8"/>
  <c r="G142" i="8"/>
  <c r="G143" i="8"/>
  <c r="G144" i="8"/>
  <c r="G145" i="8"/>
  <c r="G146" i="8"/>
  <c r="G147" i="8"/>
  <c r="G148" i="8"/>
  <c r="G149" i="8"/>
  <c r="G150" i="8"/>
  <c r="G151" i="8"/>
  <c r="G152" i="8"/>
  <c r="G153" i="8"/>
  <c r="G154" i="8"/>
  <c r="G155" i="8"/>
  <c r="G156" i="8"/>
  <c r="G157" i="8"/>
  <c r="G158" i="8"/>
  <c r="G159" i="8"/>
  <c r="G160" i="8"/>
  <c r="G161" i="8"/>
  <c r="G162" i="8"/>
  <c r="G163" i="8"/>
  <c r="G164" i="8"/>
  <c r="G165" i="8"/>
  <c r="G166" i="8"/>
  <c r="G167" i="8"/>
  <c r="G168" i="8"/>
  <c r="G169" i="8"/>
  <c r="G170" i="8"/>
  <c r="G171" i="8"/>
  <c r="G172" i="8"/>
  <c r="G173" i="8"/>
  <c r="G174" i="8"/>
  <c r="G175" i="8"/>
  <c r="G176" i="8"/>
  <c r="G177" i="8"/>
  <c r="G178" i="8"/>
  <c r="G179" i="8"/>
  <c r="G180" i="8"/>
  <c r="G181" i="8"/>
  <c r="G182" i="8"/>
  <c r="G183" i="8"/>
  <c r="G184" i="8"/>
  <c r="G185" i="8"/>
  <c r="G186" i="8"/>
  <c r="G187" i="8"/>
  <c r="G188" i="8"/>
  <c r="G189" i="8"/>
  <c r="G190" i="8"/>
  <c r="G191" i="8"/>
  <c r="G192" i="8"/>
  <c r="G193" i="8"/>
  <c r="G194" i="8"/>
  <c r="G195" i="8"/>
  <c r="G196" i="8"/>
  <c r="G197" i="8"/>
  <c r="G198" i="8"/>
  <c r="G199" i="8"/>
  <c r="G200" i="8"/>
  <c r="G201" i="8"/>
  <c r="G202" i="8"/>
  <c r="G203" i="8"/>
  <c r="G204" i="8"/>
  <c r="G205" i="8"/>
  <c r="G206" i="8"/>
  <c r="G207" i="8"/>
  <c r="G208" i="8"/>
  <c r="G209" i="8"/>
  <c r="G210" i="8"/>
  <c r="G211" i="8"/>
  <c r="G212" i="8"/>
  <c r="G213" i="8"/>
  <c r="G214" i="8"/>
  <c r="G215" i="8"/>
  <c r="G216" i="8"/>
  <c r="G217" i="8"/>
  <c r="G218" i="8"/>
  <c r="G219" i="8"/>
  <c r="G220" i="8"/>
  <c r="G221" i="8"/>
  <c r="G222" i="8"/>
  <c r="G223" i="8"/>
  <c r="G224" i="8"/>
  <c r="G225" i="8"/>
  <c r="G226" i="8"/>
  <c r="G227" i="8"/>
  <c r="G228" i="8"/>
  <c r="G229" i="8"/>
  <c r="G230" i="8"/>
  <c r="G231" i="8"/>
  <c r="G232" i="8"/>
  <c r="G233" i="8"/>
  <c r="G234" i="8"/>
  <c r="G235" i="8"/>
  <c r="G236" i="8"/>
  <c r="G237" i="8"/>
  <c r="G238" i="8"/>
  <c r="G239" i="8"/>
  <c r="G240" i="8"/>
  <c r="G241" i="8"/>
  <c r="G242" i="8"/>
  <c r="G243" i="8"/>
  <c r="G244" i="8"/>
  <c r="G245" i="8"/>
  <c r="G246" i="8"/>
  <c r="G247" i="8"/>
  <c r="G248" i="8"/>
  <c r="G249" i="8"/>
  <c r="G250" i="8"/>
  <c r="G251" i="8"/>
  <c r="G252" i="8"/>
  <c r="G253" i="8"/>
  <c r="G254" i="8"/>
  <c r="G255" i="8"/>
  <c r="G256" i="8"/>
  <c r="G257" i="8"/>
  <c r="G258" i="8"/>
  <c r="G259" i="8"/>
  <c r="G260" i="8"/>
  <c r="G261" i="8"/>
  <c r="G262" i="8"/>
  <c r="G263" i="8"/>
  <c r="G264" i="8"/>
  <c r="G265" i="8"/>
  <c r="G266" i="8"/>
  <c r="G267" i="8"/>
  <c r="G268" i="8"/>
  <c r="G269" i="8"/>
  <c r="G270" i="8"/>
  <c r="G271" i="8"/>
  <c r="G272" i="8"/>
  <c r="G273" i="8"/>
  <c r="G274" i="8"/>
  <c r="G275" i="8"/>
  <c r="G276" i="8"/>
  <c r="G277" i="8"/>
  <c r="G278" i="8"/>
  <c r="G279" i="8"/>
  <c r="G280" i="8"/>
  <c r="G281" i="8"/>
  <c r="G282" i="8"/>
  <c r="G283" i="8"/>
  <c r="G284" i="8"/>
  <c r="G285" i="8"/>
  <c r="G286" i="8"/>
  <c r="G287" i="8"/>
  <c r="G288" i="8"/>
  <c r="G289" i="8"/>
  <c r="G290" i="8"/>
  <c r="G291" i="8"/>
  <c r="G292" i="8"/>
  <c r="G293" i="8"/>
  <c r="G294" i="8"/>
  <c r="G295" i="8"/>
  <c r="G296" i="8"/>
  <c r="G297" i="8"/>
  <c r="G298" i="8"/>
  <c r="G299" i="8"/>
  <c r="G300" i="8"/>
  <c r="G301" i="8"/>
  <c r="G302" i="8"/>
  <c r="G303" i="8"/>
  <c r="G304" i="8"/>
  <c r="G305" i="8"/>
  <c r="G306" i="8"/>
  <c r="G307" i="8"/>
  <c r="G308" i="8"/>
  <c r="G309" i="8"/>
  <c r="G310" i="8"/>
  <c r="G311" i="8"/>
  <c r="G312" i="8"/>
  <c r="G313" i="8"/>
  <c r="G314" i="8"/>
  <c r="G315" i="8"/>
  <c r="G316" i="8"/>
  <c r="G317" i="8"/>
  <c r="G318" i="8"/>
  <c r="G319" i="8"/>
  <c r="G320" i="8"/>
  <c r="G321" i="8"/>
  <c r="G2" i="8"/>
  <c r="H2" i="2"/>
  <c r="G26" i="5"/>
  <c r="G27" i="5"/>
  <c r="G28" i="5"/>
  <c r="G29" i="5"/>
  <c r="G30" i="5"/>
  <c r="G31" i="5"/>
  <c r="G32" i="5"/>
  <c r="G33" i="5"/>
  <c r="G34" i="5"/>
  <c r="G35" i="5"/>
  <c r="G36" i="5"/>
  <c r="G37" i="5"/>
  <c r="G38" i="5"/>
  <c r="G39" i="5"/>
  <c r="G40" i="5"/>
  <c r="G41" i="5"/>
  <c r="G42" i="5"/>
  <c r="G43" i="5"/>
  <c r="G44" i="5"/>
  <c r="G45" i="5"/>
  <c r="G46" i="5"/>
  <c r="G47" i="5"/>
  <c r="G48" i="5"/>
  <c r="G49" i="5"/>
  <c r="G50" i="5"/>
  <c r="G51" i="5"/>
  <c r="G52" i="5"/>
  <c r="G53" i="5"/>
  <c r="G54" i="5"/>
  <c r="G55" i="5"/>
  <c r="G56" i="5"/>
  <c r="G57" i="5"/>
  <c r="G58" i="5"/>
  <c r="G59" i="5"/>
  <c r="G60" i="5"/>
  <c r="G61" i="5"/>
  <c r="G62" i="5"/>
  <c r="G63" i="5"/>
  <c r="G64" i="5"/>
  <c r="G65" i="5"/>
  <c r="G66" i="5"/>
  <c r="G67" i="5"/>
  <c r="G68" i="5"/>
  <c r="G69" i="5"/>
  <c r="G70" i="5"/>
  <c r="G71" i="5"/>
  <c r="G72" i="5"/>
  <c r="G73" i="5"/>
  <c r="G74" i="5"/>
  <c r="G75" i="5"/>
  <c r="G76" i="5"/>
  <c r="G77" i="5"/>
  <c r="G78" i="5"/>
  <c r="G79" i="5"/>
  <c r="G80" i="5"/>
  <c r="G81" i="5"/>
  <c r="G82" i="5"/>
  <c r="G83" i="5"/>
  <c r="G84" i="5"/>
  <c r="G85" i="5"/>
  <c r="G86" i="5"/>
  <c r="G87" i="5"/>
  <c r="G88" i="5"/>
  <c r="G89" i="5"/>
  <c r="G90" i="5"/>
  <c r="G91" i="5"/>
  <c r="G92" i="5"/>
  <c r="G93" i="5"/>
  <c r="G94" i="5"/>
  <c r="G95" i="5"/>
  <c r="G96" i="5"/>
  <c r="G97" i="5"/>
  <c r="G98" i="5"/>
  <c r="G99" i="5"/>
  <c r="G100" i="5"/>
  <c r="G101" i="5"/>
  <c r="G102" i="5"/>
  <c r="G103" i="5"/>
  <c r="G104" i="5"/>
  <c r="G105" i="5"/>
  <c r="G106" i="5"/>
  <c r="G107" i="5"/>
  <c r="G108" i="5"/>
  <c r="G109" i="5"/>
  <c r="G110" i="5"/>
  <c r="G111" i="5"/>
  <c r="G112" i="5"/>
  <c r="G113" i="5"/>
  <c r="G114" i="5"/>
  <c r="G115" i="5"/>
  <c r="G116" i="5"/>
  <c r="G117" i="5"/>
  <c r="G118" i="5"/>
  <c r="G119" i="5"/>
  <c r="G120" i="5"/>
  <c r="G121" i="5"/>
  <c r="G122" i="5"/>
  <c r="G123" i="5"/>
  <c r="G124" i="5"/>
  <c r="G125" i="5"/>
  <c r="G126" i="5"/>
  <c r="G127" i="5"/>
  <c r="G128" i="5"/>
  <c r="G129" i="5"/>
  <c r="G130" i="5"/>
  <c r="G131" i="5"/>
  <c r="G132" i="5"/>
  <c r="G133" i="5"/>
  <c r="G134" i="5"/>
  <c r="G135" i="5"/>
  <c r="G136" i="5"/>
  <c r="G137" i="5"/>
  <c r="G138" i="5"/>
  <c r="G139" i="5"/>
  <c r="G140" i="5"/>
  <c r="G141" i="5"/>
  <c r="G142" i="5"/>
  <c r="G143" i="5"/>
  <c r="G144" i="5"/>
  <c r="G145" i="5"/>
  <c r="G146" i="5"/>
  <c r="G147" i="5"/>
  <c r="G148" i="5"/>
  <c r="G149" i="5"/>
  <c r="G150" i="5"/>
  <c r="G151" i="5"/>
  <c r="G152" i="5"/>
  <c r="G153" i="5"/>
  <c r="G154" i="5"/>
  <c r="G155" i="5"/>
  <c r="G156" i="5"/>
  <c r="G157" i="5"/>
  <c r="G158" i="5"/>
  <c r="G159" i="5"/>
  <c r="G160" i="5"/>
  <c r="G161" i="5"/>
  <c r="G162" i="5"/>
  <c r="G163" i="5"/>
  <c r="G164" i="5"/>
  <c r="G165" i="5"/>
  <c r="G166" i="5"/>
  <c r="G167" i="5"/>
  <c r="G168" i="5"/>
  <c r="G169" i="5"/>
  <c r="G170" i="5"/>
  <c r="G171" i="5"/>
  <c r="G172" i="5"/>
  <c r="G173" i="5"/>
  <c r="G174" i="5"/>
  <c r="G175" i="5"/>
  <c r="G176" i="5"/>
  <c r="G177" i="5"/>
  <c r="G178" i="5"/>
  <c r="G179" i="5"/>
  <c r="G180" i="5"/>
  <c r="G181" i="5"/>
  <c r="G182" i="5"/>
  <c r="G183" i="5"/>
  <c r="G184" i="5"/>
  <c r="G185" i="5"/>
  <c r="G186" i="5"/>
  <c r="G187" i="5"/>
  <c r="G188" i="5"/>
  <c r="G189" i="5"/>
  <c r="G190" i="5"/>
  <c r="G191" i="5"/>
  <c r="G192" i="5"/>
  <c r="G193" i="5"/>
  <c r="G194" i="5"/>
  <c r="G195" i="5"/>
  <c r="G196" i="5"/>
  <c r="G197" i="5"/>
  <c r="G198" i="5"/>
  <c r="G199" i="5"/>
  <c r="G200" i="5"/>
  <c r="G201" i="5"/>
  <c r="G202" i="5"/>
  <c r="G203" i="5"/>
  <c r="G204" i="5"/>
  <c r="G205" i="5"/>
  <c r="G206" i="5"/>
  <c r="G207" i="5"/>
  <c r="G208" i="5"/>
  <c r="G209" i="5"/>
  <c r="G210" i="5"/>
  <c r="G211" i="5"/>
  <c r="G212" i="5"/>
  <c r="G213" i="5"/>
  <c r="G214" i="5"/>
  <c r="G215" i="5"/>
  <c r="G216" i="5"/>
  <c r="G217" i="5"/>
  <c r="G218" i="5"/>
  <c r="G219" i="5"/>
  <c r="G220" i="5"/>
  <c r="G221" i="5"/>
  <c r="G222" i="5"/>
  <c r="G223" i="5"/>
  <c r="G224" i="5"/>
  <c r="G225" i="5"/>
  <c r="G226" i="5"/>
  <c r="G227" i="5"/>
  <c r="G228" i="5"/>
  <c r="G229" i="5"/>
  <c r="G230" i="5"/>
  <c r="G231" i="5"/>
  <c r="G232" i="5"/>
  <c r="G233" i="5"/>
  <c r="G234" i="5"/>
  <c r="G235" i="5"/>
  <c r="G236" i="5"/>
  <c r="G237" i="5"/>
  <c r="G238" i="5"/>
  <c r="G239" i="5"/>
  <c r="G240" i="5"/>
  <c r="G241" i="5"/>
  <c r="G242" i="5"/>
  <c r="G243" i="5"/>
  <c r="G244" i="5"/>
  <c r="G245" i="5"/>
  <c r="G246" i="5"/>
  <c r="G247" i="5"/>
  <c r="G248" i="5"/>
  <c r="G249" i="5"/>
  <c r="G250" i="5"/>
  <c r="G251" i="5"/>
  <c r="G252" i="5"/>
  <c r="G253" i="5"/>
  <c r="G254" i="5"/>
  <c r="G255" i="5"/>
  <c r="G256" i="5"/>
  <c r="G257" i="5"/>
  <c r="G258" i="5"/>
  <c r="G259" i="5"/>
  <c r="G260" i="5"/>
  <c r="G261" i="5"/>
  <c r="G262" i="5"/>
  <c r="G263" i="5"/>
  <c r="G264" i="5"/>
  <c r="G265" i="5"/>
  <c r="G266" i="5"/>
  <c r="G267" i="5"/>
  <c r="G268" i="5"/>
  <c r="G269" i="5"/>
  <c r="G270" i="5"/>
  <c r="G271" i="5"/>
  <c r="G272" i="5"/>
  <c r="G273" i="5"/>
  <c r="G274" i="5"/>
  <c r="G275" i="5"/>
  <c r="G276" i="5"/>
  <c r="G277" i="5"/>
  <c r="G278" i="5"/>
  <c r="G279" i="5"/>
  <c r="G280" i="5"/>
  <c r="G281" i="5"/>
  <c r="G282" i="5"/>
  <c r="G283" i="5"/>
  <c r="G284" i="5"/>
  <c r="G285" i="5"/>
  <c r="G286" i="5"/>
  <c r="G287" i="5"/>
  <c r="G288" i="5"/>
  <c r="G289" i="5"/>
  <c r="G290" i="5"/>
  <c r="G291" i="5"/>
  <c r="G292" i="5"/>
  <c r="G293" i="5"/>
  <c r="G294" i="5"/>
  <c r="G295" i="5"/>
  <c r="G296" i="5"/>
  <c r="G297" i="5"/>
  <c r="G298" i="5"/>
  <c r="G299" i="5"/>
  <c r="G300" i="5"/>
  <c r="G301" i="5"/>
  <c r="G302" i="5"/>
  <c r="G303" i="5"/>
  <c r="G304" i="5"/>
  <c r="G305" i="5"/>
  <c r="G306" i="5"/>
  <c r="G307" i="5"/>
  <c r="G308" i="5"/>
  <c r="G309" i="5"/>
  <c r="G310" i="5"/>
  <c r="G311" i="5"/>
  <c r="G312" i="5"/>
  <c r="G313" i="5"/>
  <c r="G314" i="5"/>
  <c r="G315" i="5"/>
  <c r="G316" i="5"/>
  <c r="G317" i="5"/>
  <c r="G318" i="5"/>
  <c r="G319" i="5"/>
  <c r="G320" i="5"/>
  <c r="G321" i="5"/>
  <c r="G322" i="5"/>
  <c r="G323" i="5"/>
  <c r="G324" i="5"/>
  <c r="G325" i="5"/>
  <c r="G326" i="5"/>
  <c r="G327" i="5"/>
  <c r="G328" i="5"/>
  <c r="G329" i="5"/>
  <c r="G330" i="5"/>
  <c r="G331" i="5"/>
  <c r="G332" i="5"/>
  <c r="G333" i="5"/>
  <c r="G334" i="5"/>
  <c r="G335" i="5"/>
  <c r="G336" i="5"/>
  <c r="G337" i="5"/>
  <c r="G338" i="5"/>
  <c r="G339" i="5"/>
  <c r="G340" i="5"/>
  <c r="G341" i="5"/>
  <c r="G342" i="5"/>
  <c r="G343" i="5"/>
  <c r="G344" i="5"/>
  <c r="G345" i="5"/>
  <c r="G346" i="5"/>
  <c r="G347" i="5"/>
  <c r="G348" i="5"/>
  <c r="G349" i="5"/>
  <c r="G350" i="5"/>
  <c r="G351" i="5"/>
  <c r="G352" i="5"/>
  <c r="G353" i="5"/>
  <c r="G354" i="5"/>
  <c r="G355" i="5"/>
  <c r="G356" i="5"/>
  <c r="G357" i="5"/>
  <c r="G358" i="5"/>
  <c r="G359" i="5"/>
  <c r="G360" i="5"/>
  <c r="G361" i="5"/>
  <c r="G362" i="5"/>
  <c r="G363" i="5"/>
  <c r="G364" i="5"/>
  <c r="G365" i="5"/>
  <c r="G366" i="5"/>
  <c r="G367" i="5"/>
  <c r="G368" i="5"/>
  <c r="G369" i="5"/>
  <c r="G370" i="5"/>
  <c r="G371" i="5"/>
  <c r="G372" i="5"/>
  <c r="G373" i="5"/>
  <c r="G374" i="5"/>
  <c r="G375" i="5"/>
  <c r="G376" i="5"/>
  <c r="G377" i="5"/>
  <c r="G378" i="5"/>
  <c r="G379" i="5"/>
  <c r="G380" i="5"/>
  <c r="G381" i="5"/>
  <c r="G382" i="5"/>
  <c r="G383" i="5"/>
  <c r="G384" i="5"/>
  <c r="G385" i="5"/>
  <c r="G386" i="5"/>
  <c r="G387" i="5"/>
  <c r="G388" i="5"/>
  <c r="G389" i="5"/>
  <c r="G390" i="5"/>
  <c r="G391" i="5"/>
  <c r="G392" i="5"/>
  <c r="G393" i="5"/>
  <c r="G394" i="5"/>
  <c r="G395" i="5"/>
  <c r="G396" i="5"/>
  <c r="G397" i="5"/>
  <c r="G398" i="5"/>
  <c r="G399" i="5"/>
  <c r="G400" i="5"/>
  <c r="G401" i="5"/>
  <c r="G402" i="5"/>
  <c r="G403" i="5"/>
  <c r="G404" i="5"/>
  <c r="G405" i="5"/>
  <c r="G406" i="5"/>
  <c r="G407" i="5"/>
  <c r="G408" i="5"/>
  <c r="G409" i="5"/>
  <c r="G410" i="5"/>
  <c r="G411" i="5"/>
  <c r="G412" i="5"/>
  <c r="G413" i="5"/>
  <c r="G414" i="5"/>
  <c r="G415" i="5"/>
  <c r="G416" i="5"/>
  <c r="G417" i="5"/>
  <c r="G418" i="5"/>
  <c r="G419" i="5"/>
  <c r="G420" i="5"/>
  <c r="G421" i="5"/>
  <c r="G422" i="5"/>
  <c r="G423" i="5"/>
  <c r="G424" i="5"/>
  <c r="G425" i="5"/>
  <c r="G426" i="5"/>
  <c r="G427" i="5"/>
  <c r="G428" i="5"/>
  <c r="G429" i="5"/>
  <c r="G430" i="5"/>
  <c r="G431" i="5"/>
  <c r="G432" i="5"/>
  <c r="G433" i="5"/>
  <c r="G434" i="5"/>
  <c r="G435" i="5"/>
  <c r="G436" i="5"/>
  <c r="G437" i="5"/>
  <c r="G438" i="5"/>
  <c r="G439" i="5"/>
  <c r="G440" i="5"/>
  <c r="G441" i="5"/>
  <c r="G442" i="5"/>
  <c r="G443" i="5"/>
  <c r="G444" i="5"/>
  <c r="G445" i="5"/>
  <c r="G446" i="5"/>
  <c r="G447" i="5"/>
  <c r="G448" i="5"/>
  <c r="G449" i="5"/>
  <c r="G450" i="5"/>
  <c r="G451" i="5"/>
  <c r="G452" i="5"/>
  <c r="G453" i="5"/>
  <c r="G454" i="5"/>
  <c r="G455" i="5"/>
  <c r="G456" i="5"/>
  <c r="G457" i="5"/>
  <c r="G458" i="5"/>
  <c r="G459" i="5"/>
  <c r="G460" i="5"/>
  <c r="G461" i="5"/>
  <c r="G462" i="5"/>
  <c r="G463" i="5"/>
  <c r="G464" i="5"/>
  <c r="G465" i="5"/>
  <c r="G466" i="5"/>
  <c r="G467" i="5"/>
  <c r="G468" i="5"/>
  <c r="G469" i="5"/>
  <c r="G470" i="5"/>
  <c r="G471" i="5"/>
  <c r="G472" i="5"/>
  <c r="G473" i="5"/>
  <c r="G474" i="5"/>
  <c r="G475" i="5"/>
  <c r="G476" i="5"/>
  <c r="G477" i="5"/>
  <c r="G478" i="5"/>
  <c r="G479" i="5"/>
  <c r="G480" i="5"/>
  <c r="G481" i="5"/>
  <c r="G482" i="5"/>
  <c r="G483" i="5"/>
  <c r="G484" i="5"/>
  <c r="G485" i="5"/>
  <c r="G486" i="5"/>
  <c r="G487" i="5"/>
  <c r="G488" i="5"/>
  <c r="G489" i="5"/>
  <c r="G490" i="5"/>
  <c r="G491" i="5"/>
  <c r="G492" i="5"/>
  <c r="G493" i="5"/>
  <c r="G494" i="5"/>
  <c r="G495" i="5"/>
  <c r="G496" i="5"/>
  <c r="G497" i="5"/>
  <c r="G498" i="5"/>
  <c r="G499" i="5"/>
  <c r="G500" i="5"/>
  <c r="G501" i="5"/>
  <c r="G502" i="5"/>
  <c r="G503" i="5"/>
  <c r="G504" i="5"/>
  <c r="G505" i="5"/>
  <c r="G506" i="5"/>
  <c r="G507" i="5"/>
  <c r="G508" i="5"/>
  <c r="G509" i="5"/>
  <c r="G510" i="5"/>
  <c r="G511" i="5"/>
  <c r="G512" i="5"/>
  <c r="G513" i="5"/>
  <c r="G514" i="5"/>
  <c r="G515" i="5"/>
  <c r="G516" i="5"/>
  <c r="G517" i="5"/>
  <c r="G518" i="5"/>
  <c r="G519" i="5"/>
  <c r="G520" i="5"/>
  <c r="G521" i="5"/>
  <c r="G522" i="5"/>
  <c r="G523" i="5"/>
  <c r="G524" i="5"/>
  <c r="G525" i="5"/>
  <c r="G526" i="5"/>
  <c r="G527" i="5"/>
  <c r="G528" i="5"/>
  <c r="G529" i="5"/>
  <c r="G530" i="5"/>
  <c r="G531" i="5"/>
  <c r="G532" i="5"/>
  <c r="G533" i="5"/>
  <c r="G534" i="5"/>
  <c r="G535" i="5"/>
  <c r="G536" i="5"/>
  <c r="G537" i="5"/>
  <c r="G538" i="5"/>
  <c r="G539" i="5"/>
  <c r="G540" i="5"/>
  <c r="G541" i="5"/>
  <c r="G542" i="5"/>
  <c r="G543" i="5"/>
  <c r="G544" i="5"/>
  <c r="G545" i="5"/>
  <c r="G546" i="5"/>
  <c r="G547" i="5"/>
  <c r="G548" i="5"/>
  <c r="G549" i="5"/>
  <c r="G550" i="5"/>
  <c r="G551" i="5"/>
  <c r="G552" i="5"/>
  <c r="G553" i="5"/>
  <c r="G554" i="5"/>
  <c r="G555" i="5"/>
  <c r="G556" i="5"/>
  <c r="G557" i="5"/>
  <c r="G558" i="5"/>
  <c r="G559" i="5"/>
  <c r="G560" i="5"/>
  <c r="G561" i="5"/>
  <c r="G562" i="5"/>
  <c r="G563" i="5"/>
  <c r="G564" i="5"/>
  <c r="G565" i="5"/>
  <c r="G566" i="5"/>
  <c r="G567" i="5"/>
  <c r="G568" i="5"/>
  <c r="G569" i="5"/>
  <c r="G570" i="5"/>
  <c r="G571" i="5"/>
  <c r="G572" i="5"/>
  <c r="G573" i="5"/>
  <c r="G574" i="5"/>
  <c r="G575" i="5"/>
  <c r="G576" i="5"/>
  <c r="G577" i="5"/>
  <c r="G578" i="5"/>
  <c r="G579" i="5"/>
  <c r="G580" i="5"/>
  <c r="G581" i="5"/>
  <c r="G3" i="5"/>
  <c r="G4" i="5"/>
  <c r="G5" i="5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G19" i="5"/>
  <c r="G20" i="5"/>
  <c r="G21" i="5"/>
  <c r="G22" i="5"/>
  <c r="G23" i="5"/>
  <c r="G24" i="5"/>
  <c r="G25" i="5"/>
  <c r="G2" i="5"/>
  <c r="H271" i="2"/>
  <c r="H272" i="2"/>
  <c r="H3" i="2"/>
  <c r="H4" i="2"/>
  <c r="H5" i="2"/>
  <c r="H6" i="2"/>
  <c r="H7" i="2"/>
  <c r="H8" i="2"/>
  <c r="H9" i="2"/>
  <c r="H10" i="2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H32" i="2"/>
  <c r="H33" i="2"/>
  <c r="H34" i="2"/>
  <c r="H35" i="2"/>
  <c r="H36" i="2"/>
  <c r="H37" i="2"/>
  <c r="H38" i="2"/>
  <c r="H39" i="2"/>
  <c r="H40" i="2"/>
  <c r="H41" i="2"/>
  <c r="H42" i="2"/>
  <c r="H43" i="2"/>
  <c r="H44" i="2"/>
  <c r="H45" i="2"/>
  <c r="H46" i="2"/>
  <c r="H47" i="2"/>
  <c r="H48" i="2"/>
  <c r="H49" i="2"/>
  <c r="H50" i="2"/>
  <c r="H51" i="2"/>
  <c r="H52" i="2"/>
  <c r="H53" i="2"/>
  <c r="H54" i="2"/>
  <c r="H55" i="2"/>
  <c r="H56" i="2"/>
  <c r="H57" i="2"/>
  <c r="H58" i="2"/>
  <c r="H59" i="2"/>
  <c r="H60" i="2"/>
  <c r="H61" i="2"/>
  <c r="H62" i="2"/>
  <c r="H63" i="2"/>
  <c r="H64" i="2"/>
  <c r="H65" i="2"/>
  <c r="H66" i="2"/>
  <c r="H67" i="2"/>
  <c r="H68" i="2"/>
  <c r="H69" i="2"/>
  <c r="H70" i="2"/>
  <c r="H71" i="2"/>
  <c r="H72" i="2"/>
  <c r="H73" i="2"/>
  <c r="H74" i="2"/>
  <c r="H75" i="2"/>
  <c r="H76" i="2"/>
  <c r="H77" i="2"/>
  <c r="H78" i="2"/>
  <c r="H79" i="2"/>
  <c r="H80" i="2"/>
  <c r="H81" i="2"/>
  <c r="H82" i="2"/>
  <c r="H83" i="2"/>
  <c r="H84" i="2"/>
  <c r="H85" i="2"/>
  <c r="H86" i="2"/>
  <c r="H87" i="2"/>
  <c r="H88" i="2"/>
  <c r="H89" i="2"/>
  <c r="H90" i="2"/>
  <c r="H91" i="2"/>
  <c r="H92" i="2"/>
  <c r="H93" i="2"/>
  <c r="H94" i="2"/>
  <c r="H95" i="2"/>
  <c r="H96" i="2"/>
  <c r="H97" i="2"/>
  <c r="H98" i="2"/>
  <c r="H99" i="2"/>
  <c r="H100" i="2"/>
  <c r="H101" i="2"/>
  <c r="H102" i="2"/>
  <c r="H103" i="2"/>
  <c r="H104" i="2"/>
  <c r="H105" i="2"/>
  <c r="H106" i="2"/>
  <c r="H107" i="2"/>
  <c r="H108" i="2"/>
  <c r="H109" i="2"/>
  <c r="H110" i="2"/>
  <c r="H111" i="2"/>
  <c r="H112" i="2"/>
  <c r="H113" i="2"/>
  <c r="H114" i="2"/>
  <c r="H115" i="2"/>
  <c r="H116" i="2"/>
  <c r="H117" i="2"/>
  <c r="H118" i="2"/>
  <c r="H119" i="2"/>
  <c r="H120" i="2"/>
  <c r="H121" i="2"/>
  <c r="H122" i="2"/>
  <c r="H123" i="2"/>
  <c r="H124" i="2"/>
  <c r="H125" i="2"/>
  <c r="H126" i="2"/>
  <c r="H127" i="2"/>
  <c r="H128" i="2"/>
  <c r="H129" i="2"/>
  <c r="H130" i="2"/>
  <c r="H131" i="2"/>
  <c r="H132" i="2"/>
  <c r="H133" i="2"/>
  <c r="H134" i="2"/>
  <c r="H135" i="2"/>
  <c r="H136" i="2"/>
  <c r="H137" i="2"/>
  <c r="H138" i="2"/>
  <c r="H139" i="2"/>
  <c r="H140" i="2"/>
  <c r="H141" i="2"/>
  <c r="H142" i="2"/>
  <c r="H143" i="2"/>
  <c r="H144" i="2"/>
  <c r="H145" i="2"/>
  <c r="H146" i="2"/>
  <c r="H147" i="2"/>
  <c r="H148" i="2"/>
  <c r="H149" i="2"/>
  <c r="H150" i="2"/>
  <c r="H151" i="2"/>
  <c r="H152" i="2"/>
  <c r="H153" i="2"/>
  <c r="H154" i="2"/>
  <c r="H155" i="2"/>
  <c r="H156" i="2"/>
  <c r="H157" i="2"/>
  <c r="H158" i="2"/>
  <c r="H159" i="2"/>
  <c r="H160" i="2"/>
  <c r="H161" i="2"/>
  <c r="H162" i="2"/>
  <c r="H163" i="2"/>
  <c r="H164" i="2"/>
  <c r="H165" i="2"/>
  <c r="H166" i="2"/>
  <c r="H167" i="2"/>
  <c r="H168" i="2"/>
  <c r="H169" i="2"/>
  <c r="H170" i="2"/>
  <c r="H171" i="2"/>
  <c r="H172" i="2"/>
  <c r="H173" i="2"/>
  <c r="H174" i="2"/>
  <c r="H175" i="2"/>
  <c r="H176" i="2"/>
  <c r="H177" i="2"/>
  <c r="H178" i="2"/>
  <c r="H179" i="2"/>
  <c r="H180" i="2"/>
  <c r="H181" i="2"/>
  <c r="H182" i="2"/>
  <c r="H183" i="2"/>
  <c r="H184" i="2"/>
  <c r="H185" i="2"/>
  <c r="H186" i="2"/>
  <c r="H187" i="2"/>
  <c r="H188" i="2"/>
  <c r="H189" i="2"/>
  <c r="H190" i="2"/>
  <c r="H191" i="2"/>
  <c r="H192" i="2"/>
  <c r="H193" i="2"/>
  <c r="H194" i="2"/>
  <c r="H195" i="2"/>
  <c r="H196" i="2"/>
  <c r="H197" i="2"/>
  <c r="H198" i="2"/>
  <c r="H199" i="2"/>
  <c r="H200" i="2"/>
  <c r="H201" i="2"/>
  <c r="H202" i="2"/>
  <c r="H203" i="2"/>
  <c r="H204" i="2"/>
  <c r="H205" i="2"/>
  <c r="H206" i="2"/>
  <c r="H207" i="2"/>
  <c r="H208" i="2"/>
  <c r="H209" i="2"/>
  <c r="H210" i="2"/>
  <c r="H211" i="2"/>
  <c r="H212" i="2"/>
  <c r="H213" i="2"/>
  <c r="H214" i="2"/>
  <c r="H215" i="2"/>
  <c r="H216" i="2"/>
  <c r="H217" i="2"/>
  <c r="H218" i="2"/>
  <c r="H219" i="2"/>
  <c r="H220" i="2"/>
  <c r="H221" i="2"/>
  <c r="H222" i="2"/>
  <c r="H223" i="2"/>
  <c r="H224" i="2"/>
  <c r="H225" i="2"/>
  <c r="H226" i="2"/>
  <c r="H227" i="2"/>
  <c r="H228" i="2"/>
  <c r="H229" i="2"/>
  <c r="H230" i="2"/>
  <c r="H231" i="2"/>
  <c r="H232" i="2"/>
  <c r="H233" i="2"/>
  <c r="H234" i="2"/>
  <c r="H235" i="2"/>
  <c r="H236" i="2"/>
  <c r="H237" i="2"/>
  <c r="H238" i="2"/>
  <c r="H239" i="2"/>
  <c r="H240" i="2"/>
  <c r="H241" i="2"/>
  <c r="H242" i="2"/>
  <c r="H243" i="2"/>
  <c r="H244" i="2"/>
  <c r="H245" i="2"/>
  <c r="H246" i="2"/>
  <c r="H247" i="2"/>
  <c r="H248" i="2"/>
  <c r="H249" i="2"/>
  <c r="H250" i="2"/>
  <c r="H251" i="2"/>
  <c r="H252" i="2"/>
  <c r="H253" i="2"/>
  <c r="H254" i="2"/>
  <c r="H255" i="2"/>
  <c r="H256" i="2"/>
  <c r="H257" i="2"/>
  <c r="H258" i="2"/>
  <c r="H259" i="2"/>
  <c r="H260" i="2"/>
  <c r="H261" i="2"/>
  <c r="H262" i="2"/>
  <c r="H263" i="2"/>
  <c r="H264" i="2"/>
  <c r="H265" i="2"/>
  <c r="H266" i="2"/>
  <c r="H267" i="2"/>
  <c r="H268" i="2"/>
  <c r="H269" i="2"/>
  <c r="H270" i="2"/>
  <c r="L2" i="4"/>
  <c r="I2" i="4"/>
  <c r="L625" i="4"/>
  <c r="L626" i="4"/>
  <c r="L627" i="4"/>
  <c r="L628" i="4"/>
  <c r="L629" i="4"/>
  <c r="L630" i="4"/>
  <c r="L631" i="4"/>
  <c r="L632" i="4"/>
  <c r="L633" i="4"/>
  <c r="L634" i="4"/>
  <c r="L635" i="4"/>
  <c r="L636" i="4"/>
  <c r="L637" i="4"/>
  <c r="L638" i="4"/>
  <c r="L639" i="4"/>
  <c r="L640" i="4"/>
  <c r="L641" i="4"/>
  <c r="L642" i="4"/>
  <c r="L643" i="4"/>
  <c r="L644" i="4"/>
  <c r="L645" i="4"/>
  <c r="L646" i="4"/>
  <c r="L647" i="4"/>
  <c r="L648" i="4"/>
  <c r="L649" i="4"/>
  <c r="L650" i="4"/>
  <c r="L651" i="4"/>
  <c r="L652" i="4"/>
  <c r="L653" i="4"/>
  <c r="L654" i="4"/>
  <c r="L655" i="4"/>
  <c r="L656" i="4"/>
  <c r="L657" i="4"/>
  <c r="L658" i="4"/>
  <c r="L659" i="4"/>
  <c r="L660" i="4"/>
  <c r="L661" i="4"/>
  <c r="L662" i="4"/>
  <c r="L663" i="4"/>
  <c r="L664" i="4"/>
  <c r="L665" i="4"/>
  <c r="L666" i="4"/>
  <c r="L667" i="4"/>
  <c r="L668" i="4"/>
  <c r="L669" i="4"/>
  <c r="L670" i="4"/>
  <c r="L671" i="4"/>
  <c r="L672" i="4"/>
  <c r="L673" i="4"/>
  <c r="L674" i="4"/>
  <c r="L675" i="4"/>
  <c r="L676" i="4"/>
  <c r="L677" i="4"/>
  <c r="L678" i="4"/>
  <c r="L679" i="4"/>
  <c r="L680" i="4"/>
  <c r="L681" i="4"/>
  <c r="L682" i="4"/>
  <c r="L683" i="4"/>
  <c r="L684" i="4"/>
  <c r="L685" i="4"/>
  <c r="L686" i="4"/>
  <c r="L687" i="4"/>
  <c r="L688" i="4"/>
  <c r="L689" i="4"/>
  <c r="L690" i="4"/>
  <c r="L691" i="4"/>
  <c r="L692" i="4"/>
  <c r="L693" i="4"/>
  <c r="L694" i="4"/>
  <c r="L695" i="4"/>
  <c r="L696" i="4"/>
  <c r="L697" i="4"/>
  <c r="L698" i="4"/>
  <c r="L699" i="4"/>
  <c r="L700" i="4"/>
  <c r="L701" i="4"/>
  <c r="L702" i="4"/>
  <c r="L703" i="4"/>
  <c r="L704" i="4"/>
  <c r="L705" i="4"/>
  <c r="L706" i="4"/>
  <c r="L707" i="4"/>
  <c r="L708" i="4"/>
  <c r="L709" i="4"/>
  <c r="L710" i="4"/>
  <c r="L711" i="4"/>
  <c r="L522" i="4"/>
  <c r="L523" i="4"/>
  <c r="L524" i="4"/>
  <c r="L525" i="4"/>
  <c r="L526" i="4"/>
  <c r="L527" i="4"/>
  <c r="L528" i="4"/>
  <c r="L529" i="4"/>
  <c r="L530" i="4"/>
  <c r="L531" i="4"/>
  <c r="L532" i="4"/>
  <c r="L533" i="4"/>
  <c r="L534" i="4"/>
  <c r="L535" i="4"/>
  <c r="L536" i="4"/>
  <c r="L537" i="4"/>
  <c r="L538" i="4"/>
  <c r="L539" i="4"/>
  <c r="L540" i="4"/>
  <c r="L541" i="4"/>
  <c r="L542" i="4"/>
  <c r="L543" i="4"/>
  <c r="L544" i="4"/>
  <c r="L545" i="4"/>
  <c r="L546" i="4"/>
  <c r="L547" i="4"/>
  <c r="L548" i="4"/>
  <c r="L549" i="4"/>
  <c r="L550" i="4"/>
  <c r="L551" i="4"/>
  <c r="L552" i="4"/>
  <c r="L553" i="4"/>
  <c r="L554" i="4"/>
  <c r="L555" i="4"/>
  <c r="L556" i="4"/>
  <c r="L557" i="4"/>
  <c r="L558" i="4"/>
  <c r="L559" i="4"/>
  <c r="L560" i="4"/>
  <c r="L561" i="4"/>
  <c r="L562" i="4"/>
  <c r="L563" i="4"/>
  <c r="L564" i="4"/>
  <c r="L565" i="4"/>
  <c r="L566" i="4"/>
  <c r="L567" i="4"/>
  <c r="L568" i="4"/>
  <c r="L569" i="4"/>
  <c r="L570" i="4"/>
  <c r="L571" i="4"/>
  <c r="L572" i="4"/>
  <c r="L573" i="4"/>
  <c r="L574" i="4"/>
  <c r="L575" i="4"/>
  <c r="L576" i="4"/>
  <c r="L577" i="4"/>
  <c r="L578" i="4"/>
  <c r="L579" i="4"/>
  <c r="L580" i="4"/>
  <c r="L581" i="4"/>
  <c r="L582" i="4"/>
  <c r="L583" i="4"/>
  <c r="L584" i="4"/>
  <c r="L585" i="4"/>
  <c r="L586" i="4"/>
  <c r="L587" i="4"/>
  <c r="L588" i="4"/>
  <c r="L589" i="4"/>
  <c r="L590" i="4"/>
  <c r="L591" i="4"/>
  <c r="L592" i="4"/>
  <c r="L593" i="4"/>
  <c r="L594" i="4"/>
  <c r="L595" i="4"/>
  <c r="L596" i="4"/>
  <c r="L597" i="4"/>
  <c r="L598" i="4"/>
  <c r="L599" i="4"/>
  <c r="L600" i="4"/>
  <c r="L601" i="4"/>
  <c r="L602" i="4"/>
  <c r="L603" i="4"/>
  <c r="L604" i="4"/>
  <c r="L605" i="4"/>
  <c r="L606" i="4"/>
  <c r="L607" i="4"/>
  <c r="L608" i="4"/>
  <c r="L609" i="4"/>
  <c r="L610" i="4"/>
  <c r="L611" i="4"/>
  <c r="L612" i="4"/>
  <c r="L613" i="4"/>
  <c r="L614" i="4"/>
  <c r="L615" i="4"/>
  <c r="L616" i="4"/>
  <c r="L617" i="4"/>
  <c r="L618" i="4"/>
  <c r="L619" i="4"/>
  <c r="L620" i="4"/>
  <c r="L621" i="4"/>
  <c r="L622" i="4"/>
  <c r="L623" i="4"/>
  <c r="L624" i="4"/>
  <c r="L301" i="4"/>
  <c r="L302" i="4"/>
  <c r="L303" i="4"/>
  <c r="L304" i="4"/>
  <c r="L305" i="4"/>
  <c r="L306" i="4"/>
  <c r="L307" i="4"/>
  <c r="L308" i="4"/>
  <c r="L309" i="4"/>
  <c r="L310" i="4"/>
  <c r="L311" i="4"/>
  <c r="L312" i="4"/>
  <c r="L313" i="4"/>
  <c r="L314" i="4"/>
  <c r="L315" i="4"/>
  <c r="L316" i="4"/>
  <c r="L317" i="4"/>
  <c r="L318" i="4"/>
  <c r="L319" i="4"/>
  <c r="L320" i="4"/>
  <c r="L321" i="4"/>
  <c r="L322" i="4"/>
  <c r="L323" i="4"/>
  <c r="L324" i="4"/>
  <c r="L325" i="4"/>
  <c r="L326" i="4"/>
  <c r="L327" i="4"/>
  <c r="L328" i="4"/>
  <c r="L329" i="4"/>
  <c r="L330" i="4"/>
  <c r="L331" i="4"/>
  <c r="L332" i="4"/>
  <c r="L333" i="4"/>
  <c r="L334" i="4"/>
  <c r="L335" i="4"/>
  <c r="L336" i="4"/>
  <c r="L337" i="4"/>
  <c r="L338" i="4"/>
  <c r="L339" i="4"/>
  <c r="L340" i="4"/>
  <c r="L341" i="4"/>
  <c r="L342" i="4"/>
  <c r="L343" i="4"/>
  <c r="L344" i="4"/>
  <c r="L345" i="4"/>
  <c r="L346" i="4"/>
  <c r="L347" i="4"/>
  <c r="L348" i="4"/>
  <c r="L349" i="4"/>
  <c r="L350" i="4"/>
  <c r="L351" i="4"/>
  <c r="L352" i="4"/>
  <c r="L353" i="4"/>
  <c r="L354" i="4"/>
  <c r="L355" i="4"/>
  <c r="L356" i="4"/>
  <c r="L357" i="4"/>
  <c r="L358" i="4"/>
  <c r="L359" i="4"/>
  <c r="L360" i="4"/>
  <c r="L361" i="4"/>
  <c r="L362" i="4"/>
  <c r="L363" i="4"/>
  <c r="L364" i="4"/>
  <c r="L365" i="4"/>
  <c r="L366" i="4"/>
  <c r="L367" i="4"/>
  <c r="L368" i="4"/>
  <c r="L369" i="4"/>
  <c r="L370" i="4"/>
  <c r="L371" i="4"/>
  <c r="L372" i="4"/>
  <c r="L373" i="4"/>
  <c r="L374" i="4"/>
  <c r="L375" i="4"/>
  <c r="L376" i="4"/>
  <c r="L377" i="4"/>
  <c r="L378" i="4"/>
  <c r="L379" i="4"/>
  <c r="L380" i="4"/>
  <c r="L381" i="4"/>
  <c r="L382" i="4"/>
  <c r="L383" i="4"/>
  <c r="L384" i="4"/>
  <c r="L385" i="4"/>
  <c r="L386" i="4"/>
  <c r="L387" i="4"/>
  <c r="L388" i="4"/>
  <c r="L389" i="4"/>
  <c r="L390" i="4"/>
  <c r="L391" i="4"/>
  <c r="L392" i="4"/>
  <c r="L393" i="4"/>
  <c r="L394" i="4"/>
  <c r="L395" i="4"/>
  <c r="L396" i="4"/>
  <c r="L397" i="4"/>
  <c r="L398" i="4"/>
  <c r="L399" i="4"/>
  <c r="L400" i="4"/>
  <c r="L401" i="4"/>
  <c r="L402" i="4"/>
  <c r="L403" i="4"/>
  <c r="L404" i="4"/>
  <c r="L405" i="4"/>
  <c r="L406" i="4"/>
  <c r="L407" i="4"/>
  <c r="L408" i="4"/>
  <c r="L409" i="4"/>
  <c r="L410" i="4"/>
  <c r="L411" i="4"/>
  <c r="L412" i="4"/>
  <c r="L413" i="4"/>
  <c r="L414" i="4"/>
  <c r="L415" i="4"/>
  <c r="L416" i="4"/>
  <c r="L417" i="4"/>
  <c r="L418" i="4"/>
  <c r="L419" i="4"/>
  <c r="L420" i="4"/>
  <c r="L421" i="4"/>
  <c r="L422" i="4"/>
  <c r="L423" i="4"/>
  <c r="L424" i="4"/>
  <c r="L425" i="4"/>
  <c r="L426" i="4"/>
  <c r="L427" i="4"/>
  <c r="L428" i="4"/>
  <c r="L429" i="4"/>
  <c r="L430" i="4"/>
  <c r="L431" i="4"/>
  <c r="L432" i="4"/>
  <c r="L433" i="4"/>
  <c r="L434" i="4"/>
  <c r="L435" i="4"/>
  <c r="L436" i="4"/>
  <c r="L437" i="4"/>
  <c r="L438" i="4"/>
  <c r="L439" i="4"/>
  <c r="L440" i="4"/>
  <c r="L441" i="4"/>
  <c r="L442" i="4"/>
  <c r="L443" i="4"/>
  <c r="L444" i="4"/>
  <c r="L445" i="4"/>
  <c r="L446" i="4"/>
  <c r="L447" i="4"/>
  <c r="L448" i="4"/>
  <c r="L449" i="4"/>
  <c r="L450" i="4"/>
  <c r="L451" i="4"/>
  <c r="L452" i="4"/>
  <c r="L453" i="4"/>
  <c r="L454" i="4"/>
  <c r="L455" i="4"/>
  <c r="L456" i="4"/>
  <c r="L457" i="4"/>
  <c r="L458" i="4"/>
  <c r="L459" i="4"/>
  <c r="L460" i="4"/>
  <c r="L461" i="4"/>
  <c r="L462" i="4"/>
  <c r="L463" i="4"/>
  <c r="L464" i="4"/>
  <c r="L465" i="4"/>
  <c r="L466" i="4"/>
  <c r="L467" i="4"/>
  <c r="L468" i="4"/>
  <c r="L469" i="4"/>
  <c r="L470" i="4"/>
  <c r="L471" i="4"/>
  <c r="L472" i="4"/>
  <c r="L473" i="4"/>
  <c r="L474" i="4"/>
  <c r="L475" i="4"/>
  <c r="L476" i="4"/>
  <c r="L477" i="4"/>
  <c r="L478" i="4"/>
  <c r="L479" i="4"/>
  <c r="L480" i="4"/>
  <c r="L481" i="4"/>
  <c r="L482" i="4"/>
  <c r="L483" i="4"/>
  <c r="L484" i="4"/>
  <c r="L485" i="4"/>
  <c r="L486" i="4"/>
  <c r="L487" i="4"/>
  <c r="L488" i="4"/>
  <c r="L489" i="4"/>
  <c r="L490" i="4"/>
  <c r="L491" i="4"/>
  <c r="L492" i="4"/>
  <c r="L493" i="4"/>
  <c r="L494" i="4"/>
  <c r="L495" i="4"/>
  <c r="L496" i="4"/>
  <c r="L497" i="4"/>
  <c r="L498" i="4"/>
  <c r="L499" i="4"/>
  <c r="L500" i="4"/>
  <c r="L501" i="4"/>
  <c r="L502" i="4"/>
  <c r="L503" i="4"/>
  <c r="L504" i="4"/>
  <c r="L505" i="4"/>
  <c r="L506" i="4"/>
  <c r="L507" i="4"/>
  <c r="L508" i="4"/>
  <c r="L509" i="4"/>
  <c r="L510" i="4"/>
  <c r="L511" i="4"/>
  <c r="L512" i="4"/>
  <c r="L513" i="4"/>
  <c r="L514" i="4"/>
  <c r="L515" i="4"/>
  <c r="L516" i="4"/>
  <c r="L517" i="4"/>
  <c r="L518" i="4"/>
  <c r="L519" i="4"/>
  <c r="L520" i="4"/>
  <c r="L521" i="4"/>
  <c r="L99" i="4"/>
  <c r="L100" i="4"/>
  <c r="L101" i="4"/>
  <c r="L102" i="4"/>
  <c r="L103" i="4"/>
  <c r="L104" i="4"/>
  <c r="L105" i="4"/>
  <c r="L106" i="4"/>
  <c r="L107" i="4"/>
  <c r="L108" i="4"/>
  <c r="L109" i="4"/>
  <c r="L110" i="4"/>
  <c r="L111" i="4"/>
  <c r="L112" i="4"/>
  <c r="L113" i="4"/>
  <c r="L114" i="4"/>
  <c r="L115" i="4"/>
  <c r="L116" i="4"/>
  <c r="L117" i="4"/>
  <c r="L118" i="4"/>
  <c r="L119" i="4"/>
  <c r="L120" i="4"/>
  <c r="L121" i="4"/>
  <c r="L122" i="4"/>
  <c r="L123" i="4"/>
  <c r="L124" i="4"/>
  <c r="L125" i="4"/>
  <c r="L126" i="4"/>
  <c r="L127" i="4"/>
  <c r="L128" i="4"/>
  <c r="L129" i="4"/>
  <c r="L130" i="4"/>
  <c r="L131" i="4"/>
  <c r="L132" i="4"/>
  <c r="L133" i="4"/>
  <c r="L134" i="4"/>
  <c r="L135" i="4"/>
  <c r="L136" i="4"/>
  <c r="L137" i="4"/>
  <c r="L138" i="4"/>
  <c r="L139" i="4"/>
  <c r="L140" i="4"/>
  <c r="L141" i="4"/>
  <c r="L142" i="4"/>
  <c r="L143" i="4"/>
  <c r="L144" i="4"/>
  <c r="L145" i="4"/>
  <c r="L146" i="4"/>
  <c r="L147" i="4"/>
  <c r="L148" i="4"/>
  <c r="L149" i="4"/>
  <c r="L150" i="4"/>
  <c r="L151" i="4"/>
  <c r="L152" i="4"/>
  <c r="L153" i="4"/>
  <c r="L154" i="4"/>
  <c r="L155" i="4"/>
  <c r="L156" i="4"/>
  <c r="L157" i="4"/>
  <c r="L158" i="4"/>
  <c r="L159" i="4"/>
  <c r="L160" i="4"/>
  <c r="L161" i="4"/>
  <c r="L162" i="4"/>
  <c r="L163" i="4"/>
  <c r="L164" i="4"/>
  <c r="L165" i="4"/>
  <c r="L166" i="4"/>
  <c r="L167" i="4"/>
  <c r="L168" i="4"/>
  <c r="L169" i="4"/>
  <c r="L170" i="4"/>
  <c r="L171" i="4"/>
  <c r="L172" i="4"/>
  <c r="L173" i="4"/>
  <c r="L174" i="4"/>
  <c r="L175" i="4"/>
  <c r="L176" i="4"/>
  <c r="L177" i="4"/>
  <c r="L178" i="4"/>
  <c r="L179" i="4"/>
  <c r="L180" i="4"/>
  <c r="L181" i="4"/>
  <c r="L182" i="4"/>
  <c r="L183" i="4"/>
  <c r="L184" i="4"/>
  <c r="L185" i="4"/>
  <c r="L186" i="4"/>
  <c r="L187" i="4"/>
  <c r="L188" i="4"/>
  <c r="L189" i="4"/>
  <c r="L190" i="4"/>
  <c r="L191" i="4"/>
  <c r="L192" i="4"/>
  <c r="L193" i="4"/>
  <c r="L194" i="4"/>
  <c r="L195" i="4"/>
  <c r="L196" i="4"/>
  <c r="L197" i="4"/>
  <c r="L198" i="4"/>
  <c r="L199" i="4"/>
  <c r="L200" i="4"/>
  <c r="L201" i="4"/>
  <c r="L202" i="4"/>
  <c r="L203" i="4"/>
  <c r="L204" i="4"/>
  <c r="L205" i="4"/>
  <c r="L206" i="4"/>
  <c r="L207" i="4"/>
  <c r="L208" i="4"/>
  <c r="L209" i="4"/>
  <c r="L210" i="4"/>
  <c r="L211" i="4"/>
  <c r="L212" i="4"/>
  <c r="L213" i="4"/>
  <c r="L214" i="4"/>
  <c r="L215" i="4"/>
  <c r="L216" i="4"/>
  <c r="L217" i="4"/>
  <c r="L218" i="4"/>
  <c r="L219" i="4"/>
  <c r="L220" i="4"/>
  <c r="L221" i="4"/>
  <c r="L222" i="4"/>
  <c r="L223" i="4"/>
  <c r="L224" i="4"/>
  <c r="L225" i="4"/>
  <c r="L226" i="4"/>
  <c r="L227" i="4"/>
  <c r="L228" i="4"/>
  <c r="L229" i="4"/>
  <c r="L230" i="4"/>
  <c r="L231" i="4"/>
  <c r="L232" i="4"/>
  <c r="L233" i="4"/>
  <c r="L234" i="4"/>
  <c r="L235" i="4"/>
  <c r="L236" i="4"/>
  <c r="L237" i="4"/>
  <c r="L238" i="4"/>
  <c r="L239" i="4"/>
  <c r="L240" i="4"/>
  <c r="L241" i="4"/>
  <c r="L242" i="4"/>
  <c r="L243" i="4"/>
  <c r="L244" i="4"/>
  <c r="L245" i="4"/>
  <c r="L246" i="4"/>
  <c r="L247" i="4"/>
  <c r="L248" i="4"/>
  <c r="L249" i="4"/>
  <c r="L250" i="4"/>
  <c r="L251" i="4"/>
  <c r="L252" i="4"/>
  <c r="L253" i="4"/>
  <c r="L254" i="4"/>
  <c r="L255" i="4"/>
  <c r="L256" i="4"/>
  <c r="L257" i="4"/>
  <c r="L258" i="4"/>
  <c r="L259" i="4"/>
  <c r="L260" i="4"/>
  <c r="L261" i="4"/>
  <c r="L262" i="4"/>
  <c r="L263" i="4"/>
  <c r="L264" i="4"/>
  <c r="L265" i="4"/>
  <c r="L266" i="4"/>
  <c r="L267" i="4"/>
  <c r="L268" i="4"/>
  <c r="L269" i="4"/>
  <c r="L270" i="4"/>
  <c r="L271" i="4"/>
  <c r="L272" i="4"/>
  <c r="L273" i="4"/>
  <c r="L274" i="4"/>
  <c r="L275" i="4"/>
  <c r="L276" i="4"/>
  <c r="L277" i="4"/>
  <c r="L278" i="4"/>
  <c r="L279" i="4"/>
  <c r="L280" i="4"/>
  <c r="L281" i="4"/>
  <c r="L282" i="4"/>
  <c r="L283" i="4"/>
  <c r="L284" i="4"/>
  <c r="L285" i="4"/>
  <c r="L286" i="4"/>
  <c r="L287" i="4"/>
  <c r="L288" i="4"/>
  <c r="L289" i="4"/>
  <c r="L290" i="4"/>
  <c r="L291" i="4"/>
  <c r="L292" i="4"/>
  <c r="L293" i="4"/>
  <c r="L294" i="4"/>
  <c r="L295" i="4"/>
  <c r="L296" i="4"/>
  <c r="L297" i="4"/>
  <c r="L298" i="4"/>
  <c r="L299" i="4"/>
  <c r="L300" i="4"/>
  <c r="L77" i="4"/>
  <c r="L78" i="4"/>
  <c r="L79" i="4"/>
  <c r="L80" i="4"/>
  <c r="L81" i="4"/>
  <c r="L82" i="4"/>
  <c r="L83" i="4"/>
  <c r="L84" i="4"/>
  <c r="L85" i="4"/>
  <c r="L86" i="4"/>
  <c r="L87" i="4"/>
  <c r="L88" i="4"/>
  <c r="L89" i="4"/>
  <c r="L90" i="4"/>
  <c r="L91" i="4"/>
  <c r="L92" i="4"/>
  <c r="L93" i="4"/>
  <c r="L94" i="4"/>
  <c r="L95" i="4"/>
  <c r="L96" i="4"/>
  <c r="L97" i="4"/>
  <c r="L98" i="4"/>
  <c r="L55" i="4"/>
  <c r="L56" i="4"/>
  <c r="L57" i="4"/>
  <c r="L58" i="4"/>
  <c r="L59" i="4"/>
  <c r="L60" i="4"/>
  <c r="L61" i="4"/>
  <c r="L62" i="4"/>
  <c r="L63" i="4"/>
  <c r="L64" i="4"/>
  <c r="L65" i="4"/>
  <c r="L66" i="4"/>
  <c r="L67" i="4"/>
  <c r="L68" i="4"/>
  <c r="L69" i="4"/>
  <c r="L70" i="4"/>
  <c r="L71" i="4"/>
  <c r="L72" i="4"/>
  <c r="L73" i="4"/>
  <c r="L74" i="4"/>
  <c r="L75" i="4"/>
  <c r="L76" i="4"/>
  <c r="L3" i="4"/>
  <c r="L4" i="4"/>
  <c r="L5" i="4"/>
  <c r="L6" i="4"/>
  <c r="L7" i="4"/>
  <c r="L8" i="4"/>
  <c r="L9" i="4"/>
  <c r="L10" i="4"/>
  <c r="L11" i="4"/>
  <c r="L12" i="4"/>
  <c r="L13" i="4"/>
  <c r="L14" i="4"/>
  <c r="L15" i="4"/>
  <c r="L16" i="4"/>
  <c r="L17" i="4"/>
  <c r="L18" i="4"/>
  <c r="L19" i="4"/>
  <c r="L20" i="4"/>
  <c r="L21" i="4"/>
  <c r="L22" i="4"/>
  <c r="L23" i="4"/>
  <c r="L24" i="4"/>
  <c r="L25" i="4"/>
  <c r="L26" i="4"/>
  <c r="L27" i="4"/>
  <c r="L28" i="4"/>
  <c r="L29" i="4"/>
  <c r="L30" i="4"/>
  <c r="L31" i="4"/>
  <c r="L32" i="4"/>
  <c r="L33" i="4"/>
  <c r="L34" i="4"/>
  <c r="L35" i="4"/>
  <c r="L36" i="4"/>
  <c r="L37" i="4"/>
  <c r="L38" i="4"/>
  <c r="L39" i="4"/>
  <c r="L40" i="4"/>
  <c r="L41" i="4"/>
  <c r="L42" i="4"/>
  <c r="L43" i="4"/>
  <c r="L44" i="4"/>
  <c r="L45" i="4"/>
  <c r="L46" i="4"/>
  <c r="L47" i="4"/>
  <c r="L48" i="4"/>
  <c r="L49" i="4"/>
  <c r="L50" i="4"/>
  <c r="L51" i="4"/>
  <c r="L52" i="4"/>
  <c r="L53" i="4"/>
  <c r="L54" i="4"/>
  <c r="J2" i="4" l="1"/>
  <c r="K2" i="4" s="1"/>
</calcChain>
</file>

<file path=xl/sharedStrings.xml><?xml version="1.0" encoding="utf-8"?>
<sst xmlns="http://schemas.openxmlformats.org/spreadsheetml/2006/main" count="2430" uniqueCount="388">
  <si>
    <t>tract</t>
  </si>
  <si>
    <t>Name</t>
  </si>
  <si>
    <t>Towson, MD</t>
  </si>
  <si>
    <t>Baltimore, MD</t>
  </si>
  <si>
    <t>Pikesville, MD</t>
  </si>
  <si>
    <t>Evergreen, Baltimore, MD</t>
  </si>
  <si>
    <t>Mount Washington, Baltimore, MD</t>
  </si>
  <si>
    <t>Roland Park, Baltimore, MD</t>
  </si>
  <si>
    <t>Homeland, Baltimore, MD</t>
  </si>
  <si>
    <t>Catonsville, MD</t>
  </si>
  <si>
    <t>Mid-Charles, Baltimore, MD</t>
  </si>
  <si>
    <t>Tuscany - Canterbury, Baltimore, MD</t>
  </si>
  <si>
    <t>Relay, Halethorpe, MD</t>
  </si>
  <si>
    <t>Nottingham, MD</t>
  </si>
  <si>
    <t>Cross Country, Baltimore, MD</t>
  </si>
  <si>
    <t>Fells Point, Baltimore, MD</t>
  </si>
  <si>
    <t>Rosedale, MD</t>
  </si>
  <si>
    <t>Parkville, MD</t>
  </si>
  <si>
    <t>Linthicum Heights, MD</t>
  </si>
  <si>
    <t>Riverside, Baltimore, MD</t>
  </si>
  <si>
    <t>North Harford Road, Baltimore, MD</t>
  </si>
  <si>
    <t>Dundalk, MD</t>
  </si>
  <si>
    <t>Halethorpe, MD</t>
  </si>
  <si>
    <t>Cheswolde, Baltimore, MD</t>
  </si>
  <si>
    <t>Woodring, Baltimore, MD</t>
  </si>
  <si>
    <t>Cross Keys, Baltimore, MD</t>
  </si>
  <si>
    <t>Brooklyn Park, MD</t>
  </si>
  <si>
    <t>Canton, Baltimore, MD</t>
  </si>
  <si>
    <t>Glenham-Belford, Baltimore, MD</t>
  </si>
  <si>
    <t>Locust Point, Baltimore, MD</t>
  </si>
  <si>
    <t>Lake Walker, Baltimore, MD</t>
  </si>
  <si>
    <t>Violetville, Baltimore, MD</t>
  </si>
  <si>
    <t>Waltherson, Baltimore, MD</t>
  </si>
  <si>
    <t>Lansdowne - Baltimore Highlands, Halethorpe, MD</t>
  </si>
  <si>
    <t>Arcadia, Baltimore, MD</t>
  </si>
  <si>
    <t>Radnor - Winston, Baltimore, MD</t>
  </si>
  <si>
    <t>Harford - Echodale - Perring Parkway, Baltimore, MD</t>
  </si>
  <si>
    <t>Lansdowne - Baltimore Highlands, Lansdowne, MD</t>
  </si>
  <si>
    <t>Glen, Baltimore, MD</t>
  </si>
  <si>
    <t>Hampden, Baltimore, MD</t>
  </si>
  <si>
    <t>Cold Springs, Baltimore, MD</t>
  </si>
  <si>
    <t>Lauraville, Baltimore, MD</t>
  </si>
  <si>
    <t>Fallstaff, Baltimore, MD</t>
  </si>
  <si>
    <t>Westgate, Baltimore, MD</t>
  </si>
  <si>
    <t>Bolton Hill, Baltimore, MD</t>
  </si>
  <si>
    <t>Riverside Park, Baltimore, MD</t>
  </si>
  <si>
    <t>Woodlawn, MD</t>
  </si>
  <si>
    <t>Brooklyn, Baltimore, MD</t>
  </si>
  <si>
    <t>Joseph Lee, Baltimore, MD</t>
  </si>
  <si>
    <t>Medfield, Baltimore, MD</t>
  </si>
  <si>
    <t>Gwynn Oak, Woodlawn, MD</t>
  </si>
  <si>
    <t>Gwynn Oak, Baltimore, MD</t>
  </si>
  <si>
    <t>Medford - Broening, Baltimore, MD</t>
  </si>
  <si>
    <t>Cedmont, Baltimore, MD</t>
  </si>
  <si>
    <t>South Baltimore, Baltimore, MD</t>
  </si>
  <si>
    <t>Gwynn Oak, Lochearn, MD</t>
  </si>
  <si>
    <t>Morrell Park, Baltimore, MD</t>
  </si>
  <si>
    <t>Upper Fells Point, Baltimore, MD</t>
  </si>
  <si>
    <t>Downtown, Baltimore, MD</t>
  </si>
  <si>
    <t>Woodberry, Baltimore, MD</t>
  </si>
  <si>
    <t>Fifteenth Street, Baltimore, MD</t>
  </si>
  <si>
    <t>Hillen, Baltimore, MD</t>
  </si>
  <si>
    <t>Belair - Edison, Baltimore, MD</t>
  </si>
  <si>
    <t>Ednor Gardens - Lakeside, Baltimore, MD</t>
  </si>
  <si>
    <t>Ramblewood, Baltimore, MD</t>
  </si>
  <si>
    <t>Patterson Park, Baltimore, MD</t>
  </si>
  <si>
    <t>Frankford, Baltimore, MD</t>
  </si>
  <si>
    <t>Loch Raven, Baltimore, MD</t>
  </si>
  <si>
    <t>Baltimore Highlands, Baltimore, MD</t>
  </si>
  <si>
    <t>Armistead Gardens, Baltimore, MD</t>
  </si>
  <si>
    <t>Idlewood, Baltimore, MD</t>
  </si>
  <si>
    <t>Perring Loch, Baltimore, MD</t>
  </si>
  <si>
    <t>East Arlington, Baltimore, MD</t>
  </si>
  <si>
    <t>Beechfield, Baltimore, MD</t>
  </si>
  <si>
    <t>New Northwood, Baltimore, MD</t>
  </si>
  <si>
    <t>Mid-Govans, Baltimore, MD</t>
  </si>
  <si>
    <t>Little Italy, Baltimore, MD</t>
  </si>
  <si>
    <t>Rognel Heights, Baltimore, MD</t>
  </si>
  <si>
    <t>Walbrook, Baltimore, MD</t>
  </si>
  <si>
    <t>Irvington, Baltimore, MD</t>
  </si>
  <si>
    <t>West Forest Park, Baltimore, MD</t>
  </si>
  <si>
    <t>Hanlon Longwood, Baltimore, MD</t>
  </si>
  <si>
    <t>Lakeland, Baltimore, MD</t>
  </si>
  <si>
    <t>Parkside, Baltimore, MD</t>
  </si>
  <si>
    <t>Yale Heights, Baltimore, MD</t>
  </si>
  <si>
    <t>Garwyn Oaks, Baltimore, MD</t>
  </si>
  <si>
    <t>Pigtown, Baltimore, MD</t>
  </si>
  <si>
    <t>Remington, Baltimore, MD</t>
  </si>
  <si>
    <t>Allendale, Baltimore, MD</t>
  </si>
  <si>
    <t>Windsor Hills, Baltimore, MD</t>
  </si>
  <si>
    <t>Curtis Bay, Baltimore, MD</t>
  </si>
  <si>
    <t>Burleith-Leighton, Baltimore, MD</t>
  </si>
  <si>
    <t>Winston - Govans, Baltimore, MD</t>
  </si>
  <si>
    <t>Better Waverly, Baltimore, MD</t>
  </si>
  <si>
    <t>Reisterstown Station, Baltimore, MD</t>
  </si>
  <si>
    <t>Edmondson, Baltimore, MD</t>
  </si>
  <si>
    <t>Dorchester, Baltimore, MD</t>
  </si>
  <si>
    <t>Central Park Heights, Baltimore, MD</t>
  </si>
  <si>
    <t>Woodbrook, Baltimore, MD</t>
  </si>
  <si>
    <t>Old Goucher, Baltimore, MD</t>
  </si>
  <si>
    <t>Saint Joseph's, Baltimore, MD</t>
  </si>
  <si>
    <t>Darley Park, Baltimore, MD</t>
  </si>
  <si>
    <t>Poppleton, Baltimore, MD</t>
  </si>
  <si>
    <t>Cedonia, Baltimore, MD</t>
  </si>
  <si>
    <t>Arlington, Baltimore, MD</t>
  </si>
  <si>
    <t>Mosher, Baltimore, MD</t>
  </si>
  <si>
    <t>Coppin Heights, Baltimore, MD</t>
  </si>
  <si>
    <t>Harwood, Baltimore, MD</t>
  </si>
  <si>
    <t>Hollins Market, Baltimore, MD</t>
  </si>
  <si>
    <t>Park Circle, Baltimore, MD</t>
  </si>
  <si>
    <t>Cherry Hill, Baltimore, MD</t>
  </si>
  <si>
    <t>Bridgeview-Greenlawn, Baltimore, MD</t>
  </si>
  <si>
    <t>Coldstream - Homestead - Montebello, Baltimore, MD</t>
  </si>
  <si>
    <t>Berea, Baltimore, MD</t>
  </si>
  <si>
    <t>Rosemont, Baltimore, MD</t>
  </si>
  <si>
    <t>Lexington, Baltimore, MD</t>
  </si>
  <si>
    <t>Edgecomb, Baltimore, MD</t>
  </si>
  <si>
    <t>Reservoir Hill, Baltimore, MD</t>
  </si>
  <si>
    <t>Pratt Monroe, Baltimore, MD</t>
  </si>
  <si>
    <t>Greenmount West, Baltimore, MD</t>
  </si>
  <si>
    <t>Barclay, Baltimore, MD</t>
  </si>
  <si>
    <t>Langston Hughes, Baltimore, MD</t>
  </si>
  <si>
    <t>Butchers Hill, Baltimore, MD</t>
  </si>
  <si>
    <t>Broadway East, Baltimore, MD</t>
  </si>
  <si>
    <t>Penn North, Baltimore, MD</t>
  </si>
  <si>
    <t>Mondawmin, Baltimore, MD</t>
  </si>
  <si>
    <t>Harlem Park, Baltimore, MD</t>
  </si>
  <si>
    <t>Sandtown-Winchester, Baltimore, MD</t>
  </si>
  <si>
    <t>NW Community Action, Baltimore, MD</t>
  </si>
  <si>
    <t>Mill Hill, Baltimore, MD</t>
  </si>
  <si>
    <t>Madison - Eastend, Baltimore, MD</t>
  </si>
  <si>
    <t>Perkins Homes, Baltimore, MD</t>
  </si>
  <si>
    <t>Midtown Edmondson, Baltimore, MD</t>
  </si>
  <si>
    <t>Mount Clare, Baltimore, MD</t>
  </si>
  <si>
    <t>East Baltimore Midway, Baltimore, MD</t>
  </si>
  <si>
    <t>O'Donnell Heights, Baltimore, MD</t>
  </si>
  <si>
    <t>Upton, Baltimore, MD</t>
  </si>
  <si>
    <t>Gay Street, Baltimore, MD</t>
  </si>
  <si>
    <t>Bentalou-Smallwood, Baltimore, MD</t>
  </si>
  <si>
    <t>Oliver, Baltimore, MD</t>
  </si>
  <si>
    <t>Westport, Baltimore, MD</t>
  </si>
  <si>
    <t>McCulloh Homes, Baltimore, MD</t>
  </si>
  <si>
    <t>Claremont - Freedom, Baltimore, MD</t>
  </si>
  <si>
    <t>Druid Heights, Baltimore, MD</t>
  </si>
  <si>
    <t>Pleasant View Gardens, Baltimore, MD</t>
  </si>
  <si>
    <t>Franklin Square, Baltimore, MD</t>
  </si>
  <si>
    <t>Shipley Hill, Baltimore, MD</t>
  </si>
  <si>
    <t>Johnson Square, Baltimore, MD</t>
  </si>
  <si>
    <t>Milton - Montford, Baltimore, MD</t>
  </si>
  <si>
    <t>Edgemere, MD</t>
  </si>
  <si>
    <t>Penn - Fallsway, Baltimore, MD</t>
  </si>
  <si>
    <t>%_Staying_in_Same_Commuting_Zone_as_Adults_rP_gP_pall</t>
  </si>
  <si>
    <t>Fairmount Park, Philadelphia, PA</t>
  </si>
  <si>
    <t>Wynnefield Heights, Philadelphia, PA</t>
  </si>
  <si>
    <t>Holmesburg, Philadelphia, PA</t>
  </si>
  <si>
    <t>Northeast Philadelphia, Philadelphia, PA</t>
  </si>
  <si>
    <t>South Philadelphia, Philadelphia, PA</t>
  </si>
  <si>
    <t>Eastwick, Philadelphia, PA</t>
  </si>
  <si>
    <t>Northwest Philadelphia, Philadelphia, PA</t>
  </si>
  <si>
    <t>Southwest Philadelphia, Philadelphia, PA</t>
  </si>
  <si>
    <t>West Philadelphia, Philadelphia, PA</t>
  </si>
  <si>
    <t>Hunting Park, Philadelphia, PA</t>
  </si>
  <si>
    <t>Philadelphia, PA</t>
  </si>
  <si>
    <t>Glenwood, Philadelphia, PA</t>
  </si>
  <si>
    <t>Cecil B. Moore, Philadelphia, PA</t>
  </si>
  <si>
    <t>Ludlow, Philadelphia, PA</t>
  </si>
  <si>
    <t>North Philadelphia, Philadelphia, PA</t>
  </si>
  <si>
    <t>Centerville, Camden, NJ</t>
  </si>
  <si>
    <t>Cooper Point, Camden, NJ</t>
  </si>
  <si>
    <t>Fairhill, Philadelphia, PA</t>
  </si>
  <si>
    <t>Point Breeze, Philadelphia, PA</t>
  </si>
  <si>
    <t>Allegheny West, Philadelphia, PA</t>
  </si>
  <si>
    <t>Fairmount, Philadelphia, PA</t>
  </si>
  <si>
    <t>East Parkside, Philadelphia, PA</t>
  </si>
  <si>
    <t>Liberty Park, Camden, NJ</t>
  </si>
  <si>
    <t>Mantua, Philadelphia, PA</t>
  </si>
  <si>
    <t>Pyne Poynt, Camden, NJ</t>
  </si>
  <si>
    <t>Graduate Hospital, Philadelphia, PA</t>
  </si>
  <si>
    <t>Gateway, Camden, NJ</t>
  </si>
  <si>
    <t>Waterfront South, Camden, NJ</t>
  </si>
  <si>
    <t>Morgan Village, Camden, NJ</t>
  </si>
  <si>
    <t>Haddington, Philadelphia, PA</t>
  </si>
  <si>
    <t>Brewerytown, Philadelphia, PA</t>
  </si>
  <si>
    <t>Belmont, Philadelphia, PA</t>
  </si>
  <si>
    <t>West Powelton, Philadelphia, PA</t>
  </si>
  <si>
    <t>Parkside, Camden, NJ</t>
  </si>
  <si>
    <t>Mill Creek, Philadelphia, PA</t>
  </si>
  <si>
    <t>Lanning Square, Camden, NJ</t>
  </si>
  <si>
    <t>Carroll Park, Philadelphia, PA</t>
  </si>
  <si>
    <t>East Germantown, Philadelphia, PA</t>
  </si>
  <si>
    <t>Norris Square, Philadelphia, PA</t>
  </si>
  <si>
    <t>Walnut Hill, Philadelphia, PA</t>
  </si>
  <si>
    <t>Whitman Park, Camden, NJ</t>
  </si>
  <si>
    <t>Bergen Square, Camden, NJ</t>
  </si>
  <si>
    <t>Olney-Oak Lane, Philadelphia, PA</t>
  </si>
  <si>
    <t>Cramer Hill, Camden, NJ</t>
  </si>
  <si>
    <t>Cobbs Creek, Philadelphia, PA</t>
  </si>
  <si>
    <t>Dudley, Camden, NJ</t>
  </si>
  <si>
    <t>Marlton, Camden, NJ</t>
  </si>
  <si>
    <t>Haverford North, Philadelphia, PA</t>
  </si>
  <si>
    <t>Germantown, Philadelphia, PA</t>
  </si>
  <si>
    <t>Newbold, Philadelphia, PA</t>
  </si>
  <si>
    <t>Fairview, Camden, NJ</t>
  </si>
  <si>
    <t>Logan/ Ogontz/ Fern Rock, Philadelphia, PA</t>
  </si>
  <si>
    <t>Rosedale, Camden, NJ</t>
  </si>
  <si>
    <t>Spruce Hill, Philadelphia, PA</t>
  </si>
  <si>
    <t>Angora, Philadelphia, PA</t>
  </si>
  <si>
    <t>Biedman, Camden, NJ</t>
  </si>
  <si>
    <t>Cooper Grant, Camden, NJ</t>
  </si>
  <si>
    <t>Stockton, Camden, NJ</t>
  </si>
  <si>
    <t>Elmwood, Philadelphia, PA</t>
  </si>
  <si>
    <t>Wynnefield, Philadelphia, PA</t>
  </si>
  <si>
    <t>East Kensington, Philadelphia, PA</t>
  </si>
  <si>
    <t>Belfield, Philadelphia, PA</t>
  </si>
  <si>
    <t>Overbrook, Philadelphia, PA</t>
  </si>
  <si>
    <t>Darby, PA</t>
  </si>
  <si>
    <t>Dickinson Narrows, Philadelphia, PA</t>
  </si>
  <si>
    <t>East Mount Airy, Philadelphia, PA</t>
  </si>
  <si>
    <t>Frankford, Philadelphia, PA</t>
  </si>
  <si>
    <t>Sharon Hill, PA</t>
  </si>
  <si>
    <t>Juniata Park/ Feltonville, Philadelphia, PA</t>
  </si>
  <si>
    <t>Norristown, PA</t>
  </si>
  <si>
    <t>Oaklyn, NJ</t>
  </si>
  <si>
    <t>Grays Ferry, Philadelphia, PA</t>
  </si>
  <si>
    <t>Harrowgate, Philadelphia, PA</t>
  </si>
  <si>
    <t>Lawnside, NJ</t>
  </si>
  <si>
    <t>Elkins Park, PA</t>
  </si>
  <si>
    <t>Willingboro, NJ</t>
  </si>
  <si>
    <t>Pennsauken Township, NJ</t>
  </si>
  <si>
    <t>Lansdowne, PA</t>
  </si>
  <si>
    <t>Paulsboro, NJ</t>
  </si>
  <si>
    <t>Cedar Park, Philadelphia, PA</t>
  </si>
  <si>
    <t>Mount Airy, Philadelphia, PA</t>
  </si>
  <si>
    <t>Bella Vista, Philadelphia, PA</t>
  </si>
  <si>
    <t>Garden Court, Philadelphia, PA</t>
  </si>
  <si>
    <t>Center City, Philadelphia, PA</t>
  </si>
  <si>
    <t>Palmyra, NJ</t>
  </si>
  <si>
    <t>Upper Darby, PA</t>
  </si>
  <si>
    <t>Lawncrest, Philadelphia, PA</t>
  </si>
  <si>
    <t>Yeadon, PA</t>
  </si>
  <si>
    <t>Maple Shade Township, NJ</t>
  </si>
  <si>
    <t>Beverly, NJ</t>
  </si>
  <si>
    <t>Gloucester City, NJ</t>
  </si>
  <si>
    <t>Levittown, PA</t>
  </si>
  <si>
    <t>Fishtown, Philadelphia, PA</t>
  </si>
  <si>
    <t>Ardmore, PA</t>
  </si>
  <si>
    <t>Passyunk Square, Philadelphia, PA</t>
  </si>
  <si>
    <t>Eddystone, PA</t>
  </si>
  <si>
    <t>Somerdale, NJ</t>
  </si>
  <si>
    <t>Oxford Circle/ Castor, Philadelphia, PA</t>
  </si>
  <si>
    <t>Collingdale, PA</t>
  </si>
  <si>
    <t>South Philadelphia East, Philadelphia, PA</t>
  </si>
  <si>
    <t>Westville, NJ</t>
  </si>
  <si>
    <t>Lower Moyamensing, Philadelphia, PA</t>
  </si>
  <si>
    <t>Essington, Tinicum Township, PA</t>
  </si>
  <si>
    <t>Manayunk, Philadelphia, PA</t>
  </si>
  <si>
    <t>Croydon, PA</t>
  </si>
  <si>
    <t>Conshohocken, PA</t>
  </si>
  <si>
    <t>Bensalem, PA</t>
  </si>
  <si>
    <t>Queen Village, Philadelphia, PA</t>
  </si>
  <si>
    <t>Folcroft, PA</t>
  </si>
  <si>
    <t>Magnolia, NJ</t>
  </si>
  <si>
    <t>Roslyn, Abington, PA</t>
  </si>
  <si>
    <t>Clifton Heights, PA</t>
  </si>
  <si>
    <t>Bellmawr, NJ</t>
  </si>
  <si>
    <t>Drexel Hill, Upper Darby, PA</t>
  </si>
  <si>
    <t>East Falls, Philadelphia, PA</t>
  </si>
  <si>
    <t>Powelton Village, Philadelphia, PA</t>
  </si>
  <si>
    <t>Willow Grove, PA</t>
  </si>
  <si>
    <t>Riverside, NJ</t>
  </si>
  <si>
    <t>Woodbury, NJ</t>
  </si>
  <si>
    <t>Thorofare, West Deptford, NJ</t>
  </si>
  <si>
    <t>Glenolden, PA</t>
  </si>
  <si>
    <t>Edgewater Park, NJ</t>
  </si>
  <si>
    <t>Montgomery County, PA</t>
  </si>
  <si>
    <t>Mayfair, Philadelphia, PA</t>
  </si>
  <si>
    <t>Merchantville, NJ</t>
  </si>
  <si>
    <t>Bustleton, Philadelphia, PA</t>
  </si>
  <si>
    <t>National Park, NJ</t>
  </si>
  <si>
    <t>Collingswood, NJ</t>
  </si>
  <si>
    <t>Bridesburg, Philadelphia, PA</t>
  </si>
  <si>
    <t>Morton, PA</t>
  </si>
  <si>
    <t>East Passyunk Crossing, Philadelphia, PA</t>
  </si>
  <si>
    <t>Chestnut Hill, Philadelphia, PA</t>
  </si>
  <si>
    <t>Camden County, NJ</t>
  </si>
  <si>
    <t>Audubon, NJ</t>
  </si>
  <si>
    <t>Packer Park, Philadelphia, PA</t>
  </si>
  <si>
    <t>Trevose, Feasterville-Trevose, PA</t>
  </si>
  <si>
    <t>Ridley Park, PA</t>
  </si>
  <si>
    <t>Pennsport, Philadelphia, PA</t>
  </si>
  <si>
    <t>Cherry Hill, NJ</t>
  </si>
  <si>
    <t>Prospect Park, PA</t>
  </si>
  <si>
    <t>Cinnaminson, NJ</t>
  </si>
  <si>
    <t>Brooklawn, NJ</t>
  </si>
  <si>
    <t>Girard Estates, Philadelphia, PA</t>
  </si>
  <si>
    <t>Echelon, Voorhees Township, NJ</t>
  </si>
  <si>
    <t>Bryn Mawr, PA</t>
  </si>
  <si>
    <t>Fox Chase/ Burholme, Philadelphia, PA</t>
  </si>
  <si>
    <t>Delanco, NJ</t>
  </si>
  <si>
    <t>Runnemede, NJ</t>
  </si>
  <si>
    <t>Mount Ephraim, NJ</t>
  </si>
  <si>
    <t>Norwood, PA</t>
  </si>
  <si>
    <t>Glenside, PA</t>
  </si>
  <si>
    <t>Barrington, NJ</t>
  </si>
  <si>
    <t>Morrell Park, Philadelphia, PA</t>
  </si>
  <si>
    <t>Erlton-Ellisburg, Cherry Hill, NJ</t>
  </si>
  <si>
    <t>Delran, NJ</t>
  </si>
  <si>
    <t>Gibbstown, Greenwich Township, NJ</t>
  </si>
  <si>
    <t>Melrose Park, PA</t>
  </si>
  <si>
    <t>Folsom, PA</t>
  </si>
  <si>
    <t>West Deptford, NJ</t>
  </si>
  <si>
    <t>Briarcliffe, Glenolden, PA</t>
  </si>
  <si>
    <t>King of Prussia, PA</t>
  </si>
  <si>
    <t>Gibbsboro, NJ</t>
  </si>
  <si>
    <t>East Norriton, PA</t>
  </si>
  <si>
    <t>Oreland, PA</t>
  </si>
  <si>
    <t>Marlton, Evesham Township, NJ</t>
  </si>
  <si>
    <t>Roxborough-Manayunk, Philadelphia, PA</t>
  </si>
  <si>
    <t>Plymouth Meeting, PA</t>
  </si>
  <si>
    <t>Aldan, PA</t>
  </si>
  <si>
    <t>Millbrook, Philadelphia, PA</t>
  </si>
  <si>
    <t>Haddonfield, NJ</t>
  </si>
  <si>
    <t>Bala Cynwyd, PA</t>
  </si>
  <si>
    <t>Ashland, Cherry Hill, NJ</t>
  </si>
  <si>
    <t>Haddon Township, NJ</t>
  </si>
  <si>
    <t>Mount Laurel, NJ</t>
  </si>
  <si>
    <t>Abington, PA</t>
  </si>
  <si>
    <t>Feasterville-Trevose, PA</t>
  </si>
  <si>
    <t>Ramblewood, Mount Laurel, NJ</t>
  </si>
  <si>
    <t>University City, Philadelphia, PA</t>
  </si>
  <si>
    <t>Fort Washington, PA</t>
  </si>
  <si>
    <t>Moorestown-Lenola, Moorestown, NJ</t>
  </si>
  <si>
    <t>Narberth, PA</t>
  </si>
  <si>
    <t>Barclay-Kingston, Cherry Hill, NJ</t>
  </si>
  <si>
    <t>Rockledge, PA</t>
  </si>
  <si>
    <t>Haverford, PA</t>
  </si>
  <si>
    <t>Havertown, PA</t>
  </si>
  <si>
    <t>Huntingdon Valley, Bryn Athyn, PA</t>
  </si>
  <si>
    <t>Cambridge Park, Evesham Township, NJ</t>
  </si>
  <si>
    <t>Greentree, Cherry Hill, NJ</t>
  </si>
  <si>
    <t>Haddon Heights, NJ</t>
  </si>
  <si>
    <t>Riverton, NJ</t>
  </si>
  <si>
    <t>Lafayette Hill, PA</t>
  </si>
  <si>
    <t>Drexel Hill, Havertown, PA</t>
  </si>
  <si>
    <t>Wyncote, PA</t>
  </si>
  <si>
    <t>Penn Valley, PA</t>
  </si>
  <si>
    <t>Rydal, PA</t>
  </si>
  <si>
    <t>Jenkintown, PA</t>
  </si>
  <si>
    <t>Springfield, PA</t>
  </si>
  <si>
    <t>Wyndmoor, PA</t>
  </si>
  <si>
    <t>Voorhees Township, NJ</t>
  </si>
  <si>
    <t>Flourtown, PA</t>
  </si>
  <si>
    <t>Penn Wynne, Wynnewood, PA</t>
  </si>
  <si>
    <t>Meadowbrook, PA</t>
  </si>
  <si>
    <t>Merion Station, PA</t>
  </si>
  <si>
    <t>Evesham Township, NJ</t>
  </si>
  <si>
    <t>Huntingdon Valley, Willow Grove, PA</t>
  </si>
  <si>
    <t>Blue Bell, PA</t>
  </si>
  <si>
    <t>Wynnewood, PA</t>
  </si>
  <si>
    <t>Moorestown, NJ</t>
  </si>
  <si>
    <t>Dresher, PA</t>
  </si>
  <si>
    <t>Willowdale, Cherry Hill, NJ</t>
  </si>
  <si>
    <t>Villanova, PA</t>
  </si>
  <si>
    <t>Gladwyne, PA</t>
  </si>
  <si>
    <t>first dash</t>
  </si>
  <si>
    <t>second dash</t>
  </si>
  <si>
    <t>LOOKUP value</t>
  </si>
  <si>
    <t>LOOKUP</t>
  </si>
  <si>
    <t>Individual_Income_Excluding_Spouse_rP_gP_pall</t>
  </si>
  <si>
    <t>Essex, MD</t>
  </si>
  <si>
    <t>Middle River, MD</t>
  </si>
  <si>
    <t>Sparrows Point, MD</t>
  </si>
  <si>
    <t>Lochearn, Pikesville, MD</t>
  </si>
  <si>
    <t>Gwynn Oak, Pikesville, MD</t>
  </si>
  <si>
    <t>Elkridge, MD</t>
  </si>
  <si>
    <t>Ellicott City, MD</t>
  </si>
  <si>
    <t>Owings Mills, MD</t>
  </si>
  <si>
    <t>Individual Income</t>
  </si>
  <si>
    <t>Tract</t>
  </si>
  <si>
    <t>Grand Total</t>
  </si>
  <si>
    <t>Average of Individual Income</t>
  </si>
  <si>
    <t>Average of %Staying in Same Commuting Zone as Adults</t>
  </si>
  <si>
    <t>Correlation coefficient</t>
  </si>
  <si>
    <t>Average of % Staying in Same Commuting Zone as Adults</t>
  </si>
  <si>
    <t>Names of Neighborhoods in Baltimore</t>
  </si>
  <si>
    <t>Names of Neighborhoods in Philadelphia</t>
  </si>
  <si>
    <t>Mean %</t>
  </si>
  <si>
    <t>Mean Ind. Income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</si>
</sst>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0"/>
      <color rgb="FF000000"/>
      <name val="Helvetica Neue"/>
      <family val="2"/>
    </font>
    <font>
      <b/>
      <sz val="10"/>
      <color rgb="FF000000"/>
      <name val="Helvetica Neue"/>
      <family val="2"/>
    </font>
    <font>
      <sz val="12"/>
      <color theme="1"/>
      <name val="Helvetica"/>
      <family val="2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 tint="0.59999389629810485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9" fontId="1" fillId="0" borderId="0" applyFont="0" applyFill="0" applyBorder="0" applyAlignment="0" applyProtection="0"/>
  </cellStyleXfs>
  <cellXfs count="15">
    <xf numFmtId="0" fontId="0" fillId="0" borderId="0" xfId="0"/>
    <xf numFmtId="0" fontId="19" fillId="0" borderId="0" xfId="0" applyFont="1"/>
    <xf numFmtId="0" fontId="18" fillId="0" borderId="0" xfId="0" applyFont="1"/>
    <xf numFmtId="0" fontId="20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9" fontId="0" fillId="0" borderId="0" xfId="42" applyFont="1"/>
    <xf numFmtId="9" fontId="0" fillId="0" borderId="0" xfId="0" applyNumberFormat="1"/>
    <xf numFmtId="2" fontId="0" fillId="0" borderId="0" xfId="42" applyNumberFormat="1" applyFont="1"/>
    <xf numFmtId="2" fontId="0" fillId="33" borderId="0" xfId="42" applyNumberFormat="1" applyFont="1" applyFill="1"/>
    <xf numFmtId="0" fontId="16" fillId="33" borderId="0" xfId="0" applyFont="1" applyFill="1" applyAlignment="1">
      <alignment horizontal="left"/>
    </xf>
    <xf numFmtId="0" fontId="0" fillId="33" borderId="0" xfId="0" applyFill="1"/>
    <xf numFmtId="9" fontId="0" fillId="33" borderId="0" xfId="0" applyNumberFormat="1" applyFill="1"/>
    <xf numFmtId="0" fontId="16" fillId="33" borderId="0" xfId="0" applyFont="1" applyFill="1"/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Percent" xfId="42" builtinId="5"/>
    <cellStyle name="Title" xfId="1" builtinId="15" customBuiltin="1"/>
    <cellStyle name="Total" xfId="17" builtinId="25" customBuiltin="1"/>
    <cellStyle name="Warning Text" xfId="14" builtinId="11" customBuiltin="1"/>
  </cellStyles>
  <dxfs count="2">
    <dxf>
      <numFmt numFmtId="13" formatCode="0%"/>
    </dxf>
    <dxf>
      <numFmt numFmtId="13" formatCode="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[bmore_hhincome copy(AutoRecovered).xltx]P_pivot FINAL!PivotTable5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 Average</a:t>
            </a:r>
            <a:r>
              <a:rPr lang="en-US" baseline="0"/>
              <a:t> of Individual Income and Percentage Staying in Different Neighborhoods in Philadelphia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1"/>
          <c:order val="1"/>
          <c:tx>
            <c:strRef>
              <c:f>'P_pivot FINAL'!$C$1</c:f>
              <c:strCache>
                <c:ptCount val="1"/>
                <c:pt idx="0">
                  <c:v>Average of Individual Income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'P_pivot FINAL'!$A$2:$A$43</c:f>
              <c:strCache>
                <c:ptCount val="41"/>
                <c:pt idx="0">
                  <c:v>South Philadelphia East, Philadelphia, PA</c:v>
                </c:pt>
                <c:pt idx="1">
                  <c:v>Fishtown, Philadelphia, PA</c:v>
                </c:pt>
                <c:pt idx="2">
                  <c:v>Eastwick, Philadelphia, PA</c:v>
                </c:pt>
                <c:pt idx="3">
                  <c:v>Lower Moyamensing, Philadelphia, PA</c:v>
                </c:pt>
                <c:pt idx="4">
                  <c:v>Newbold, Philadelphia, PA</c:v>
                </c:pt>
                <c:pt idx="5">
                  <c:v>Southwest Philadelphia, Philadelphia, PA</c:v>
                </c:pt>
                <c:pt idx="6">
                  <c:v>Frankford, Philadelphia, PA</c:v>
                </c:pt>
                <c:pt idx="7">
                  <c:v>Wynnefield Heights, Philadelphia, PA</c:v>
                </c:pt>
                <c:pt idx="8">
                  <c:v>South Philadelphia, Philadelphia, PA</c:v>
                </c:pt>
                <c:pt idx="9">
                  <c:v>Passyunk Square, Philadelphia, PA</c:v>
                </c:pt>
                <c:pt idx="10">
                  <c:v>East Mount Airy, Philadelphia, PA</c:v>
                </c:pt>
                <c:pt idx="11">
                  <c:v>North Philadelphia, Philadelphia, PA</c:v>
                </c:pt>
                <c:pt idx="12">
                  <c:v>Wynnefield, Philadelphia, PA</c:v>
                </c:pt>
                <c:pt idx="13">
                  <c:v>Overbrook, Philadelphia, PA</c:v>
                </c:pt>
                <c:pt idx="14">
                  <c:v>Brewerytown, Philadelphia, PA</c:v>
                </c:pt>
                <c:pt idx="15">
                  <c:v>Elmwood, Philadelphia, PA</c:v>
                </c:pt>
                <c:pt idx="16">
                  <c:v>Powelton Village, Philadelphia, PA</c:v>
                </c:pt>
                <c:pt idx="17">
                  <c:v>Oxford Circle/ Castor, Philadelphia, PA</c:v>
                </c:pt>
                <c:pt idx="18">
                  <c:v>Lawncrest, Philadelphia, PA</c:v>
                </c:pt>
                <c:pt idx="19">
                  <c:v>Manayunk, Philadelphia, PA</c:v>
                </c:pt>
                <c:pt idx="20">
                  <c:v>Pennsport, Philadelphia, PA</c:v>
                </c:pt>
                <c:pt idx="21">
                  <c:v>East Passyunk Crossing, Philadelphia, PA</c:v>
                </c:pt>
                <c:pt idx="22">
                  <c:v>Bridesburg, Philadelphia, PA</c:v>
                </c:pt>
                <c:pt idx="23">
                  <c:v>Bustleton, Philadelphia, PA</c:v>
                </c:pt>
                <c:pt idx="24">
                  <c:v>Holmesburg, Philadelphia, PA</c:v>
                </c:pt>
                <c:pt idx="25">
                  <c:v>Packer Park, Philadelphia, PA</c:v>
                </c:pt>
                <c:pt idx="26">
                  <c:v>Queen Village, Philadelphia, PA</c:v>
                </c:pt>
                <c:pt idx="27">
                  <c:v>Northeast Philadelphia, Philadelphia, PA</c:v>
                </c:pt>
                <c:pt idx="28">
                  <c:v>Northwest Philadelphia, Philadelphia, PA</c:v>
                </c:pt>
                <c:pt idx="29">
                  <c:v>Fox Chase/ Burholme, Philadelphia, PA</c:v>
                </c:pt>
                <c:pt idx="30">
                  <c:v>Morrell Park, Philadelphia, PA</c:v>
                </c:pt>
                <c:pt idx="31">
                  <c:v>Girard Estates, Philadelphia, PA</c:v>
                </c:pt>
                <c:pt idx="32">
                  <c:v>Mayfair, Philadelphia, PA</c:v>
                </c:pt>
                <c:pt idx="33">
                  <c:v>Mount Airy, Philadelphia, PA</c:v>
                </c:pt>
                <c:pt idx="34">
                  <c:v>Roxborough-Manayunk, Philadelphia, PA</c:v>
                </c:pt>
                <c:pt idx="35">
                  <c:v>Center City, Philadelphia, PA</c:v>
                </c:pt>
                <c:pt idx="36">
                  <c:v>East Falls, Philadelphia, PA</c:v>
                </c:pt>
                <c:pt idx="37">
                  <c:v>University City, Philadelphia, PA</c:v>
                </c:pt>
                <c:pt idx="38">
                  <c:v>Chestnut Hill, Philadelphia, PA</c:v>
                </c:pt>
                <c:pt idx="39">
                  <c:v>Fairmount, Philadelphia, PA</c:v>
                </c:pt>
                <c:pt idx="40">
                  <c:v>West Philadelphia, Philadelphia, PA</c:v>
                </c:pt>
              </c:strCache>
            </c:strRef>
          </c:cat>
          <c:val>
            <c:numRef>
              <c:f>'P_pivot FINAL'!$C$2:$C$43</c:f>
              <c:numCache>
                <c:formatCode>General</c:formatCode>
                <c:ptCount val="41"/>
                <c:pt idx="0">
                  <c:v>28553</c:v>
                </c:pt>
                <c:pt idx="1">
                  <c:v>28717</c:v>
                </c:pt>
                <c:pt idx="2">
                  <c:v>28802.5</c:v>
                </c:pt>
                <c:pt idx="3">
                  <c:v>29159</c:v>
                </c:pt>
                <c:pt idx="4">
                  <c:v>29428</c:v>
                </c:pt>
                <c:pt idx="5">
                  <c:v>29525</c:v>
                </c:pt>
                <c:pt idx="6">
                  <c:v>29688.5</c:v>
                </c:pt>
                <c:pt idx="7">
                  <c:v>30163</c:v>
                </c:pt>
                <c:pt idx="8">
                  <c:v>30237.666666666668</c:v>
                </c:pt>
                <c:pt idx="9">
                  <c:v>30612.5</c:v>
                </c:pt>
                <c:pt idx="10">
                  <c:v>30892.5</c:v>
                </c:pt>
                <c:pt idx="11">
                  <c:v>30948.2</c:v>
                </c:pt>
                <c:pt idx="12">
                  <c:v>30957</c:v>
                </c:pt>
                <c:pt idx="13">
                  <c:v>31010.5</c:v>
                </c:pt>
                <c:pt idx="14">
                  <c:v>31039</c:v>
                </c:pt>
                <c:pt idx="15">
                  <c:v>31134</c:v>
                </c:pt>
                <c:pt idx="16">
                  <c:v>31229</c:v>
                </c:pt>
                <c:pt idx="17">
                  <c:v>31272.3</c:v>
                </c:pt>
                <c:pt idx="18">
                  <c:v>31631.8</c:v>
                </c:pt>
                <c:pt idx="19">
                  <c:v>31769</c:v>
                </c:pt>
                <c:pt idx="20">
                  <c:v>32150</c:v>
                </c:pt>
                <c:pt idx="21">
                  <c:v>32365</c:v>
                </c:pt>
                <c:pt idx="22">
                  <c:v>32480</c:v>
                </c:pt>
                <c:pt idx="23">
                  <c:v>32549</c:v>
                </c:pt>
                <c:pt idx="24">
                  <c:v>32716.2</c:v>
                </c:pt>
                <c:pt idx="25">
                  <c:v>33784</c:v>
                </c:pt>
                <c:pt idx="26">
                  <c:v>34567</c:v>
                </c:pt>
                <c:pt idx="27">
                  <c:v>34724.904761904763</c:v>
                </c:pt>
                <c:pt idx="28">
                  <c:v>35134</c:v>
                </c:pt>
                <c:pt idx="29">
                  <c:v>35403</c:v>
                </c:pt>
                <c:pt idx="30">
                  <c:v>35467.5</c:v>
                </c:pt>
                <c:pt idx="31">
                  <c:v>35523</c:v>
                </c:pt>
                <c:pt idx="32">
                  <c:v>35604.75</c:v>
                </c:pt>
                <c:pt idx="33">
                  <c:v>36200</c:v>
                </c:pt>
                <c:pt idx="34">
                  <c:v>36709</c:v>
                </c:pt>
                <c:pt idx="35">
                  <c:v>36748.222222222219</c:v>
                </c:pt>
                <c:pt idx="36">
                  <c:v>37007</c:v>
                </c:pt>
                <c:pt idx="37">
                  <c:v>38510</c:v>
                </c:pt>
                <c:pt idx="38">
                  <c:v>41482.25</c:v>
                </c:pt>
                <c:pt idx="39">
                  <c:v>41889.333333333336</c:v>
                </c:pt>
                <c:pt idx="40">
                  <c:v>44139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5BF-A34B-BBAA-431029D146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9413903"/>
        <c:axId val="479415583"/>
      </c:lineChart>
      <c:lineChart>
        <c:grouping val="standard"/>
        <c:varyColors val="0"/>
        <c:ser>
          <c:idx val="0"/>
          <c:order val="0"/>
          <c:tx>
            <c:strRef>
              <c:f>'P_pivot FINAL'!$B$1</c:f>
              <c:strCache>
                <c:ptCount val="1"/>
                <c:pt idx="0">
                  <c:v>Average of %Staying in Same Commuting Zone as Adults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'P_pivot FINAL'!$A$2:$A$43</c:f>
              <c:strCache>
                <c:ptCount val="41"/>
                <c:pt idx="0">
                  <c:v>South Philadelphia East, Philadelphia, PA</c:v>
                </c:pt>
                <c:pt idx="1">
                  <c:v>Fishtown, Philadelphia, PA</c:v>
                </c:pt>
                <c:pt idx="2">
                  <c:v>Eastwick, Philadelphia, PA</c:v>
                </c:pt>
                <c:pt idx="3">
                  <c:v>Lower Moyamensing, Philadelphia, PA</c:v>
                </c:pt>
                <c:pt idx="4">
                  <c:v>Newbold, Philadelphia, PA</c:v>
                </c:pt>
                <c:pt idx="5">
                  <c:v>Southwest Philadelphia, Philadelphia, PA</c:v>
                </c:pt>
                <c:pt idx="6">
                  <c:v>Frankford, Philadelphia, PA</c:v>
                </c:pt>
                <c:pt idx="7">
                  <c:v>Wynnefield Heights, Philadelphia, PA</c:v>
                </c:pt>
                <c:pt idx="8">
                  <c:v>South Philadelphia, Philadelphia, PA</c:v>
                </c:pt>
                <c:pt idx="9">
                  <c:v>Passyunk Square, Philadelphia, PA</c:v>
                </c:pt>
                <c:pt idx="10">
                  <c:v>East Mount Airy, Philadelphia, PA</c:v>
                </c:pt>
                <c:pt idx="11">
                  <c:v>North Philadelphia, Philadelphia, PA</c:v>
                </c:pt>
                <c:pt idx="12">
                  <c:v>Wynnefield, Philadelphia, PA</c:v>
                </c:pt>
                <c:pt idx="13">
                  <c:v>Overbrook, Philadelphia, PA</c:v>
                </c:pt>
                <c:pt idx="14">
                  <c:v>Brewerytown, Philadelphia, PA</c:v>
                </c:pt>
                <c:pt idx="15">
                  <c:v>Elmwood, Philadelphia, PA</c:v>
                </c:pt>
                <c:pt idx="16">
                  <c:v>Powelton Village, Philadelphia, PA</c:v>
                </c:pt>
                <c:pt idx="17">
                  <c:v>Oxford Circle/ Castor, Philadelphia, PA</c:v>
                </c:pt>
                <c:pt idx="18">
                  <c:v>Lawncrest, Philadelphia, PA</c:v>
                </c:pt>
                <c:pt idx="19">
                  <c:v>Manayunk, Philadelphia, PA</c:v>
                </c:pt>
                <c:pt idx="20">
                  <c:v>Pennsport, Philadelphia, PA</c:v>
                </c:pt>
                <c:pt idx="21">
                  <c:v>East Passyunk Crossing, Philadelphia, PA</c:v>
                </c:pt>
                <c:pt idx="22">
                  <c:v>Bridesburg, Philadelphia, PA</c:v>
                </c:pt>
                <c:pt idx="23">
                  <c:v>Bustleton, Philadelphia, PA</c:v>
                </c:pt>
                <c:pt idx="24">
                  <c:v>Holmesburg, Philadelphia, PA</c:v>
                </c:pt>
                <c:pt idx="25">
                  <c:v>Packer Park, Philadelphia, PA</c:v>
                </c:pt>
                <c:pt idx="26">
                  <c:v>Queen Village, Philadelphia, PA</c:v>
                </c:pt>
                <c:pt idx="27">
                  <c:v>Northeast Philadelphia, Philadelphia, PA</c:v>
                </c:pt>
                <c:pt idx="28">
                  <c:v>Northwest Philadelphia, Philadelphia, PA</c:v>
                </c:pt>
                <c:pt idx="29">
                  <c:v>Fox Chase/ Burholme, Philadelphia, PA</c:v>
                </c:pt>
                <c:pt idx="30">
                  <c:v>Morrell Park, Philadelphia, PA</c:v>
                </c:pt>
                <c:pt idx="31">
                  <c:v>Girard Estates, Philadelphia, PA</c:v>
                </c:pt>
                <c:pt idx="32">
                  <c:v>Mayfair, Philadelphia, PA</c:v>
                </c:pt>
                <c:pt idx="33">
                  <c:v>Mount Airy, Philadelphia, PA</c:v>
                </c:pt>
                <c:pt idx="34">
                  <c:v>Roxborough-Manayunk, Philadelphia, PA</c:v>
                </c:pt>
                <c:pt idx="35">
                  <c:v>Center City, Philadelphia, PA</c:v>
                </c:pt>
                <c:pt idx="36">
                  <c:v>East Falls, Philadelphia, PA</c:v>
                </c:pt>
                <c:pt idx="37">
                  <c:v>University City, Philadelphia, PA</c:v>
                </c:pt>
                <c:pt idx="38">
                  <c:v>Chestnut Hill, Philadelphia, PA</c:v>
                </c:pt>
                <c:pt idx="39">
                  <c:v>Fairmount, Philadelphia, PA</c:v>
                </c:pt>
                <c:pt idx="40">
                  <c:v>West Philadelphia, Philadelphia, PA</c:v>
                </c:pt>
              </c:strCache>
            </c:strRef>
          </c:cat>
          <c:val>
            <c:numRef>
              <c:f>'P_pivot FINAL'!$B$2:$B$43</c:f>
              <c:numCache>
                <c:formatCode>0%</c:formatCode>
                <c:ptCount val="41"/>
                <c:pt idx="0">
                  <c:v>0.51319999999999999</c:v>
                </c:pt>
                <c:pt idx="1">
                  <c:v>0.82509999999999994</c:v>
                </c:pt>
                <c:pt idx="2">
                  <c:v>0.77690000000000003</c:v>
                </c:pt>
                <c:pt idx="3">
                  <c:v>0.88705000000000001</c:v>
                </c:pt>
                <c:pt idx="4">
                  <c:v>0.82940000000000003</c:v>
                </c:pt>
                <c:pt idx="5">
                  <c:v>0.8246</c:v>
                </c:pt>
                <c:pt idx="6">
                  <c:v>0.82240000000000002</c:v>
                </c:pt>
                <c:pt idx="7">
                  <c:v>0.67549999999999999</c:v>
                </c:pt>
                <c:pt idx="8">
                  <c:v>0.88473333333333326</c:v>
                </c:pt>
                <c:pt idx="9">
                  <c:v>0.84119999999999995</c:v>
                </c:pt>
                <c:pt idx="10">
                  <c:v>0.72799999999999998</c:v>
                </c:pt>
                <c:pt idx="11">
                  <c:v>0.79169333333333325</c:v>
                </c:pt>
                <c:pt idx="12">
                  <c:v>0.75849999999999995</c:v>
                </c:pt>
                <c:pt idx="13">
                  <c:v>0.75419999999999998</c:v>
                </c:pt>
                <c:pt idx="14">
                  <c:v>0.79269999999999996</c:v>
                </c:pt>
                <c:pt idx="15">
                  <c:v>0.83499999999999996</c:v>
                </c:pt>
                <c:pt idx="16">
                  <c:v>0.60460000000000003</c:v>
                </c:pt>
                <c:pt idx="17">
                  <c:v>0.81974000000000014</c:v>
                </c:pt>
                <c:pt idx="18">
                  <c:v>0.8338000000000001</c:v>
                </c:pt>
                <c:pt idx="19">
                  <c:v>0.82962500000000006</c:v>
                </c:pt>
                <c:pt idx="20">
                  <c:v>0.88939999999999997</c:v>
                </c:pt>
                <c:pt idx="21">
                  <c:v>0.87549999999999994</c:v>
                </c:pt>
                <c:pt idx="22">
                  <c:v>0.89810000000000001</c:v>
                </c:pt>
                <c:pt idx="23">
                  <c:v>0.79210000000000003</c:v>
                </c:pt>
                <c:pt idx="24">
                  <c:v>0.86738000000000004</c:v>
                </c:pt>
                <c:pt idx="25">
                  <c:v>0.87109999999999999</c:v>
                </c:pt>
                <c:pt idx="26">
                  <c:v>0.68169999999999997</c:v>
                </c:pt>
                <c:pt idx="27">
                  <c:v>0.82549047619047622</c:v>
                </c:pt>
                <c:pt idx="28">
                  <c:v>0.79878000000000005</c:v>
                </c:pt>
                <c:pt idx="29">
                  <c:v>0.82797999999999994</c:v>
                </c:pt>
                <c:pt idx="30">
                  <c:v>0.85685</c:v>
                </c:pt>
                <c:pt idx="31">
                  <c:v>0.88339999999999996</c:v>
                </c:pt>
                <c:pt idx="32">
                  <c:v>0.85844999999999994</c:v>
                </c:pt>
                <c:pt idx="33">
                  <c:v>0.63473333333333337</c:v>
                </c:pt>
                <c:pt idx="34">
                  <c:v>0.83474999999999999</c:v>
                </c:pt>
                <c:pt idx="35">
                  <c:v>0.55115000000000003</c:v>
                </c:pt>
                <c:pt idx="36">
                  <c:v>0.7058333333333332</c:v>
                </c:pt>
                <c:pt idx="37">
                  <c:v>0.4798</c:v>
                </c:pt>
                <c:pt idx="38">
                  <c:v>0.54037500000000005</c:v>
                </c:pt>
                <c:pt idx="39">
                  <c:v>0.64223333333333332</c:v>
                </c:pt>
                <c:pt idx="40">
                  <c:v>0.4234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5BF-A34B-BBAA-431029D146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1846383"/>
        <c:axId val="498539359"/>
      </c:lineChart>
      <c:catAx>
        <c:axId val="47941390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Names of Neighborhood</a:t>
                </a:r>
                <a:r>
                  <a:rPr lang="en-US" baseline="0"/>
                  <a:t>s in Philadelphia, PA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415583"/>
        <c:crosses val="autoZero"/>
        <c:auto val="1"/>
        <c:lblAlgn val="ctr"/>
        <c:lblOffset val="100"/>
        <c:noMultiLvlLbl val="0"/>
      </c:catAx>
      <c:valAx>
        <c:axId val="4794155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Average</a:t>
                </a:r>
                <a:r>
                  <a:rPr lang="en-US" baseline="0"/>
                  <a:t> of Individual Income ($)</a:t>
                </a:r>
                <a:r>
                  <a:rPr lang="en-US"/>
                  <a:t> 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413903"/>
        <c:crosses val="autoZero"/>
        <c:crossBetween val="between"/>
      </c:valAx>
      <c:valAx>
        <c:axId val="498539359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Averag</a:t>
                </a:r>
                <a:r>
                  <a:rPr lang="en-US" baseline="0"/>
                  <a:t>e of % staying in the same commuting zone as adults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846383"/>
        <c:crosses val="max"/>
        <c:crossBetween val="between"/>
      </c:valAx>
      <c:catAx>
        <c:axId val="501846383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98539359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[bmore_hhincome copy(AutoRecovered).xltx]B_pivot FINAL!PivotTable6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baseline="0">
                <a:effectLst/>
              </a:rPr>
              <a:t>Average of Individual Income and Percentage Staying in Different Neighborhoods in Baltimore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70298841917907"/>
          <c:y val="8.6912554138117479E-2"/>
          <c:w val="0.60956027189254913"/>
          <c:h val="0.57912257035879244"/>
        </c:manualLayout>
      </c:layout>
      <c:lineChart>
        <c:grouping val="stacked"/>
        <c:varyColors val="0"/>
        <c:ser>
          <c:idx val="1"/>
          <c:order val="1"/>
          <c:tx>
            <c:strRef>
              <c:f>'B_pivot FINAL'!$C$1</c:f>
              <c:strCache>
                <c:ptCount val="1"/>
                <c:pt idx="0">
                  <c:v>Average of Individual Income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'B_pivot FINAL'!$A$2:$A$132</c:f>
              <c:strCache>
                <c:ptCount val="130"/>
                <c:pt idx="0">
                  <c:v>Mill Hill, Baltimore, MD</c:v>
                </c:pt>
                <c:pt idx="1">
                  <c:v>Bentalou-Smallwood, Baltimore, MD</c:v>
                </c:pt>
                <c:pt idx="2">
                  <c:v>Mount Clare, Baltimore, MD</c:v>
                </c:pt>
                <c:pt idx="3">
                  <c:v>Milton - Montford, Baltimore, MD</c:v>
                </c:pt>
                <c:pt idx="4">
                  <c:v>Shipley Hill, Baltimore, MD</c:v>
                </c:pt>
                <c:pt idx="5">
                  <c:v>Pratt Monroe, Baltimore, MD</c:v>
                </c:pt>
                <c:pt idx="6">
                  <c:v>Druid Heights, Baltimore, MD</c:v>
                </c:pt>
                <c:pt idx="7">
                  <c:v>Franklin Square, Baltimore, MD</c:v>
                </c:pt>
                <c:pt idx="8">
                  <c:v>Claremont - Freedom, Baltimore, MD</c:v>
                </c:pt>
                <c:pt idx="9">
                  <c:v>O'Donnell Heights, Baltimore, MD</c:v>
                </c:pt>
                <c:pt idx="10">
                  <c:v>Westport, Baltimore, MD</c:v>
                </c:pt>
                <c:pt idx="11">
                  <c:v>Pigtown, Baltimore, MD</c:v>
                </c:pt>
                <c:pt idx="12">
                  <c:v>Johnson Square, Baltimore, MD</c:v>
                </c:pt>
                <c:pt idx="13">
                  <c:v>Pleasant View Gardens, Baltimore, MD</c:v>
                </c:pt>
                <c:pt idx="14">
                  <c:v>Upton, Baltimore, MD</c:v>
                </c:pt>
                <c:pt idx="15">
                  <c:v>McCulloh Homes, Baltimore, MD</c:v>
                </c:pt>
                <c:pt idx="16">
                  <c:v>Reservoir Hill, Baltimore, MD</c:v>
                </c:pt>
                <c:pt idx="17">
                  <c:v>Broadway East, Baltimore, MD</c:v>
                </c:pt>
                <c:pt idx="18">
                  <c:v>Oliver, Baltimore, MD</c:v>
                </c:pt>
                <c:pt idx="19">
                  <c:v>Poppleton, Baltimore, MD</c:v>
                </c:pt>
                <c:pt idx="20">
                  <c:v>Curtis Bay, Baltimore, MD</c:v>
                </c:pt>
                <c:pt idx="21">
                  <c:v>Harlem Park, Baltimore, MD</c:v>
                </c:pt>
                <c:pt idx="22">
                  <c:v>East Baltimore Midway, Baltimore, MD</c:v>
                </c:pt>
                <c:pt idx="23">
                  <c:v>Madison - Eastend, Baltimore, MD</c:v>
                </c:pt>
                <c:pt idx="24">
                  <c:v>Sandtown-Winchester, Baltimore, MD</c:v>
                </c:pt>
                <c:pt idx="25">
                  <c:v>Gay Street, Baltimore, MD</c:v>
                </c:pt>
                <c:pt idx="26">
                  <c:v>Perkins Homes, Baltimore, MD</c:v>
                </c:pt>
                <c:pt idx="27">
                  <c:v>Mondawmin, Baltimore, MD</c:v>
                </c:pt>
                <c:pt idx="28">
                  <c:v>Greenmount West, Baltimore, MD</c:v>
                </c:pt>
                <c:pt idx="29">
                  <c:v>NW Community Action, Baltimore, MD</c:v>
                </c:pt>
                <c:pt idx="30">
                  <c:v>Hollins Market, Baltimore, MD</c:v>
                </c:pt>
                <c:pt idx="31">
                  <c:v>Penn North, Baltimore, MD</c:v>
                </c:pt>
                <c:pt idx="32">
                  <c:v>Cherry Hill, Baltimore, MD</c:v>
                </c:pt>
                <c:pt idx="33">
                  <c:v>Old Goucher, Baltimore, MD</c:v>
                </c:pt>
                <c:pt idx="34">
                  <c:v>Langston Hughes, Baltimore, MD</c:v>
                </c:pt>
                <c:pt idx="35">
                  <c:v>Remington, Baltimore, MD</c:v>
                </c:pt>
                <c:pt idx="36">
                  <c:v>Rosemont, Baltimore, MD</c:v>
                </c:pt>
                <c:pt idx="37">
                  <c:v>Midtown Edmondson, Baltimore, MD</c:v>
                </c:pt>
                <c:pt idx="38">
                  <c:v>Butchers Hill, Baltimore, MD</c:v>
                </c:pt>
                <c:pt idx="39">
                  <c:v>Berea, Baltimore, MD</c:v>
                </c:pt>
                <c:pt idx="40">
                  <c:v>Coppin Heights, Baltimore, MD</c:v>
                </c:pt>
                <c:pt idx="41">
                  <c:v>Patterson Park, Baltimore, MD</c:v>
                </c:pt>
                <c:pt idx="42">
                  <c:v>Lexington, Baltimore, MD</c:v>
                </c:pt>
                <c:pt idx="43">
                  <c:v>Harwood, Baltimore, MD</c:v>
                </c:pt>
                <c:pt idx="44">
                  <c:v>Baltimore Highlands, Baltimore, MD</c:v>
                </c:pt>
                <c:pt idx="45">
                  <c:v>Woodbrook, Baltimore, MD</c:v>
                </c:pt>
                <c:pt idx="46">
                  <c:v>Coldstream - Homestead - Montebello, Baltimore, MD</c:v>
                </c:pt>
                <c:pt idx="47">
                  <c:v>Darley Park, Baltimore, MD</c:v>
                </c:pt>
                <c:pt idx="48">
                  <c:v>Saint Joseph's, Baltimore, MD</c:v>
                </c:pt>
                <c:pt idx="49">
                  <c:v>Barclay, Baltimore, MD</c:v>
                </c:pt>
                <c:pt idx="50">
                  <c:v>Edgecomb, Baltimore, MD</c:v>
                </c:pt>
                <c:pt idx="51">
                  <c:v>Armistead Gardens, Baltimore, MD</c:v>
                </c:pt>
                <c:pt idx="52">
                  <c:v>Lakeland, Baltimore, MD</c:v>
                </c:pt>
                <c:pt idx="53">
                  <c:v>Central Park Heights, Baltimore, MD</c:v>
                </c:pt>
                <c:pt idx="54">
                  <c:v>Park Circle, Baltimore, MD</c:v>
                </c:pt>
                <c:pt idx="55">
                  <c:v>South Baltimore, Baltimore, MD</c:v>
                </c:pt>
                <c:pt idx="56">
                  <c:v>Arlington, Baltimore, MD</c:v>
                </c:pt>
                <c:pt idx="57">
                  <c:v>Mosher, Baltimore, MD</c:v>
                </c:pt>
                <c:pt idx="58">
                  <c:v>Better Waverly, Baltimore, MD</c:v>
                </c:pt>
                <c:pt idx="59">
                  <c:v>Bridgeview-Greenlawn, Baltimore, MD</c:v>
                </c:pt>
                <c:pt idx="60">
                  <c:v>Downtown, Baltimore, MD</c:v>
                </c:pt>
                <c:pt idx="61">
                  <c:v>Edmondson, Baltimore, MD</c:v>
                </c:pt>
                <c:pt idx="62">
                  <c:v>Brooklyn, Baltimore, MD</c:v>
                </c:pt>
                <c:pt idx="63">
                  <c:v>Dorchester, Baltimore, MD</c:v>
                </c:pt>
                <c:pt idx="64">
                  <c:v>Reisterstown Station, Baltimore, MD</c:v>
                </c:pt>
                <c:pt idx="65">
                  <c:v>Cedonia, Baltimore, MD</c:v>
                </c:pt>
                <c:pt idx="66">
                  <c:v>Winston - Govans, Baltimore, MD</c:v>
                </c:pt>
                <c:pt idx="67">
                  <c:v>Burleith-Leighton, Baltimore, MD</c:v>
                </c:pt>
                <c:pt idx="68">
                  <c:v>Allendale, Baltimore, MD</c:v>
                </c:pt>
                <c:pt idx="69">
                  <c:v>Little Italy, Baltimore, MD</c:v>
                </c:pt>
                <c:pt idx="70">
                  <c:v>Parkside, Baltimore, MD</c:v>
                </c:pt>
                <c:pt idx="71">
                  <c:v>Hanlon Longwood, Baltimore, MD</c:v>
                </c:pt>
                <c:pt idx="72">
                  <c:v>Upper Fells Point, Baltimore, MD</c:v>
                </c:pt>
                <c:pt idx="73">
                  <c:v>Windsor Hills, Baltimore, MD</c:v>
                </c:pt>
                <c:pt idx="74">
                  <c:v>Yale Heights, Baltimore, MD</c:v>
                </c:pt>
                <c:pt idx="75">
                  <c:v>Belair - Edison, Baltimore, MD</c:v>
                </c:pt>
                <c:pt idx="76">
                  <c:v>Fifteenth Street, Baltimore, MD</c:v>
                </c:pt>
                <c:pt idx="77">
                  <c:v>Frankford, Baltimore, MD</c:v>
                </c:pt>
                <c:pt idx="78">
                  <c:v>West Forest Park, Baltimore, MD</c:v>
                </c:pt>
                <c:pt idx="79">
                  <c:v>Irvington, Baltimore, MD</c:v>
                </c:pt>
                <c:pt idx="80">
                  <c:v>Morrell Park, Baltimore, MD</c:v>
                </c:pt>
                <c:pt idx="81">
                  <c:v>Garwyn Oaks, Baltimore, MD</c:v>
                </c:pt>
                <c:pt idx="82">
                  <c:v>Rognel Heights, Baltimore, MD</c:v>
                </c:pt>
                <c:pt idx="83">
                  <c:v>Mid-Govans, Baltimore, MD</c:v>
                </c:pt>
                <c:pt idx="84">
                  <c:v>Hampden, Baltimore, MD</c:v>
                </c:pt>
                <c:pt idx="85">
                  <c:v>Woodberry, Baltimore, MD</c:v>
                </c:pt>
                <c:pt idx="86">
                  <c:v>Medford - Broening, Baltimore, MD</c:v>
                </c:pt>
                <c:pt idx="87">
                  <c:v>Ednor Gardens - Lakeside, Baltimore, MD</c:v>
                </c:pt>
                <c:pt idx="88">
                  <c:v>Fallstaff, Baltimore, MD</c:v>
                </c:pt>
                <c:pt idx="89">
                  <c:v>Beechfield, Baltimore, MD</c:v>
                </c:pt>
                <c:pt idx="90">
                  <c:v>New Northwood, Baltimore, MD</c:v>
                </c:pt>
                <c:pt idx="91">
                  <c:v>Gwynn Oak, Baltimore, MD</c:v>
                </c:pt>
                <c:pt idx="92">
                  <c:v>Harford - Echodale - Perring Parkway, Baltimore, MD</c:v>
                </c:pt>
                <c:pt idx="93">
                  <c:v>East Arlington, Baltimore, MD</c:v>
                </c:pt>
                <c:pt idx="94">
                  <c:v>Walbrook, Baltimore, MD</c:v>
                </c:pt>
                <c:pt idx="95">
                  <c:v>Joseph Lee, Baltimore, MD</c:v>
                </c:pt>
                <c:pt idx="96">
                  <c:v>Glen, Baltimore, MD</c:v>
                </c:pt>
                <c:pt idx="97">
                  <c:v>Loch Raven, Baltimore, MD</c:v>
                </c:pt>
                <c:pt idx="98">
                  <c:v>Idlewood, Baltimore, MD</c:v>
                </c:pt>
                <c:pt idx="99">
                  <c:v>Perring Loch, Baltimore, MD</c:v>
                </c:pt>
                <c:pt idx="100">
                  <c:v>Riverside Park, Baltimore, MD</c:v>
                </c:pt>
                <c:pt idx="101">
                  <c:v>Cedmont, Baltimore, MD</c:v>
                </c:pt>
                <c:pt idx="102">
                  <c:v>Hillen, Baltimore, MD</c:v>
                </c:pt>
                <c:pt idx="103">
                  <c:v>Canton, Baltimore, MD</c:v>
                </c:pt>
                <c:pt idx="104">
                  <c:v>Violetville, Baltimore, MD</c:v>
                </c:pt>
                <c:pt idx="105">
                  <c:v>Ramblewood, Baltimore, MD</c:v>
                </c:pt>
                <c:pt idx="106">
                  <c:v>Locust Point, Baltimore, MD</c:v>
                </c:pt>
                <c:pt idx="107">
                  <c:v>Bolton Hill, Baltimore, MD</c:v>
                </c:pt>
                <c:pt idx="108">
                  <c:v>Radnor - Winston, Baltimore, MD</c:v>
                </c:pt>
                <c:pt idx="109">
                  <c:v>Medfield, Baltimore, MD</c:v>
                </c:pt>
                <c:pt idx="110">
                  <c:v>Riverside, Baltimore, MD</c:v>
                </c:pt>
                <c:pt idx="111">
                  <c:v>Lauraville, Baltimore, MD</c:v>
                </c:pt>
                <c:pt idx="112">
                  <c:v>Glenham-Belford, Baltimore, MD</c:v>
                </c:pt>
                <c:pt idx="113">
                  <c:v>Arcadia, Baltimore, MD</c:v>
                </c:pt>
                <c:pt idx="114">
                  <c:v>Lake Walker, Baltimore, MD</c:v>
                </c:pt>
                <c:pt idx="115">
                  <c:v>Westgate, Baltimore, MD</c:v>
                </c:pt>
                <c:pt idx="116">
                  <c:v>Cross Country, Baltimore, MD</c:v>
                </c:pt>
                <c:pt idx="117">
                  <c:v>Waltherson, Baltimore, MD</c:v>
                </c:pt>
                <c:pt idx="118">
                  <c:v>Woodring, Baltimore, MD</c:v>
                </c:pt>
                <c:pt idx="119">
                  <c:v>Cheswolde, Baltimore, MD</c:v>
                </c:pt>
                <c:pt idx="120">
                  <c:v>North Harford Road, Baltimore, MD</c:v>
                </c:pt>
                <c:pt idx="121">
                  <c:v>Cross Keys, Baltimore, MD</c:v>
                </c:pt>
                <c:pt idx="122">
                  <c:v>Cold Springs, Baltimore, MD</c:v>
                </c:pt>
                <c:pt idx="123">
                  <c:v>Mid-Charles, Baltimore, MD</c:v>
                </c:pt>
                <c:pt idx="124">
                  <c:v>Fells Point, Baltimore, MD</c:v>
                </c:pt>
                <c:pt idx="125">
                  <c:v>Homeland, Baltimore, MD</c:v>
                </c:pt>
                <c:pt idx="126">
                  <c:v>Roland Park, Baltimore, MD</c:v>
                </c:pt>
                <c:pt idx="127">
                  <c:v>Tuscany - Canterbury, Baltimore, MD</c:v>
                </c:pt>
                <c:pt idx="128">
                  <c:v>Evergreen, Baltimore, MD</c:v>
                </c:pt>
                <c:pt idx="129">
                  <c:v>Mount Washington, Baltimore, MD</c:v>
                </c:pt>
              </c:strCache>
            </c:strRef>
          </c:cat>
          <c:val>
            <c:numRef>
              <c:f>'B_pivot FINAL'!$C$2:$C$132</c:f>
              <c:numCache>
                <c:formatCode>General</c:formatCode>
                <c:ptCount val="130"/>
                <c:pt idx="0">
                  <c:v>14938</c:v>
                </c:pt>
                <c:pt idx="1">
                  <c:v>15614</c:v>
                </c:pt>
                <c:pt idx="2">
                  <c:v>16142</c:v>
                </c:pt>
                <c:pt idx="3">
                  <c:v>16572</c:v>
                </c:pt>
                <c:pt idx="4">
                  <c:v>16603</c:v>
                </c:pt>
                <c:pt idx="5">
                  <c:v>16632</c:v>
                </c:pt>
                <c:pt idx="6">
                  <c:v>16874</c:v>
                </c:pt>
                <c:pt idx="7">
                  <c:v>16972</c:v>
                </c:pt>
                <c:pt idx="8">
                  <c:v>17118</c:v>
                </c:pt>
                <c:pt idx="9">
                  <c:v>17340</c:v>
                </c:pt>
                <c:pt idx="10">
                  <c:v>17370</c:v>
                </c:pt>
                <c:pt idx="11">
                  <c:v>17512.5</c:v>
                </c:pt>
                <c:pt idx="12">
                  <c:v>17684</c:v>
                </c:pt>
                <c:pt idx="13">
                  <c:v>17719</c:v>
                </c:pt>
                <c:pt idx="14">
                  <c:v>17815.5</c:v>
                </c:pt>
                <c:pt idx="15">
                  <c:v>17947</c:v>
                </c:pt>
                <c:pt idx="16">
                  <c:v>18054</c:v>
                </c:pt>
                <c:pt idx="17">
                  <c:v>18198.8</c:v>
                </c:pt>
                <c:pt idx="18">
                  <c:v>18262</c:v>
                </c:pt>
                <c:pt idx="19">
                  <c:v>18310</c:v>
                </c:pt>
                <c:pt idx="20">
                  <c:v>18416</c:v>
                </c:pt>
                <c:pt idx="21">
                  <c:v>18483</c:v>
                </c:pt>
                <c:pt idx="22">
                  <c:v>18484</c:v>
                </c:pt>
                <c:pt idx="23">
                  <c:v>18511</c:v>
                </c:pt>
                <c:pt idx="24">
                  <c:v>18589.5</c:v>
                </c:pt>
                <c:pt idx="25">
                  <c:v>18694</c:v>
                </c:pt>
                <c:pt idx="26">
                  <c:v>18742</c:v>
                </c:pt>
                <c:pt idx="27">
                  <c:v>18821</c:v>
                </c:pt>
                <c:pt idx="28">
                  <c:v>18824</c:v>
                </c:pt>
                <c:pt idx="29">
                  <c:v>18863</c:v>
                </c:pt>
                <c:pt idx="30">
                  <c:v>19083</c:v>
                </c:pt>
                <c:pt idx="31">
                  <c:v>19321</c:v>
                </c:pt>
                <c:pt idx="32">
                  <c:v>19381.666666666668</c:v>
                </c:pt>
                <c:pt idx="33">
                  <c:v>19414</c:v>
                </c:pt>
                <c:pt idx="34">
                  <c:v>19455</c:v>
                </c:pt>
                <c:pt idx="35">
                  <c:v>19475</c:v>
                </c:pt>
                <c:pt idx="36">
                  <c:v>19546</c:v>
                </c:pt>
                <c:pt idx="37">
                  <c:v>19575</c:v>
                </c:pt>
                <c:pt idx="38">
                  <c:v>19672</c:v>
                </c:pt>
                <c:pt idx="39">
                  <c:v>19690.5</c:v>
                </c:pt>
                <c:pt idx="40">
                  <c:v>19755</c:v>
                </c:pt>
                <c:pt idx="41">
                  <c:v>20408.666666666668</c:v>
                </c:pt>
                <c:pt idx="42">
                  <c:v>20412.5</c:v>
                </c:pt>
                <c:pt idx="43">
                  <c:v>20647</c:v>
                </c:pt>
                <c:pt idx="44">
                  <c:v>20669</c:v>
                </c:pt>
                <c:pt idx="45">
                  <c:v>20784</c:v>
                </c:pt>
                <c:pt idx="46">
                  <c:v>20823</c:v>
                </c:pt>
                <c:pt idx="47">
                  <c:v>20931</c:v>
                </c:pt>
                <c:pt idx="48">
                  <c:v>21015</c:v>
                </c:pt>
                <c:pt idx="49">
                  <c:v>21031</c:v>
                </c:pt>
                <c:pt idx="50">
                  <c:v>21061</c:v>
                </c:pt>
                <c:pt idx="51">
                  <c:v>21070</c:v>
                </c:pt>
                <c:pt idx="52">
                  <c:v>21078</c:v>
                </c:pt>
                <c:pt idx="53">
                  <c:v>21118.5</c:v>
                </c:pt>
                <c:pt idx="54">
                  <c:v>21261</c:v>
                </c:pt>
                <c:pt idx="55">
                  <c:v>21263</c:v>
                </c:pt>
                <c:pt idx="56">
                  <c:v>21359</c:v>
                </c:pt>
                <c:pt idx="57">
                  <c:v>21565</c:v>
                </c:pt>
                <c:pt idx="58">
                  <c:v>21574.5</c:v>
                </c:pt>
                <c:pt idx="59">
                  <c:v>21639</c:v>
                </c:pt>
                <c:pt idx="60">
                  <c:v>21676.400000000001</c:v>
                </c:pt>
                <c:pt idx="61">
                  <c:v>21779.5</c:v>
                </c:pt>
                <c:pt idx="62">
                  <c:v>21920.25</c:v>
                </c:pt>
                <c:pt idx="63">
                  <c:v>22013</c:v>
                </c:pt>
                <c:pt idx="64">
                  <c:v>22077</c:v>
                </c:pt>
                <c:pt idx="65">
                  <c:v>22133</c:v>
                </c:pt>
                <c:pt idx="66">
                  <c:v>22368</c:v>
                </c:pt>
                <c:pt idx="67">
                  <c:v>22829</c:v>
                </c:pt>
                <c:pt idx="68">
                  <c:v>23051</c:v>
                </c:pt>
                <c:pt idx="69">
                  <c:v>23163</c:v>
                </c:pt>
                <c:pt idx="70">
                  <c:v>23197</c:v>
                </c:pt>
                <c:pt idx="71">
                  <c:v>23244</c:v>
                </c:pt>
                <c:pt idx="72">
                  <c:v>23483.333333333332</c:v>
                </c:pt>
                <c:pt idx="73">
                  <c:v>23512</c:v>
                </c:pt>
                <c:pt idx="74">
                  <c:v>23958</c:v>
                </c:pt>
                <c:pt idx="75">
                  <c:v>23989.25</c:v>
                </c:pt>
                <c:pt idx="76">
                  <c:v>24042</c:v>
                </c:pt>
                <c:pt idx="77">
                  <c:v>24045.75</c:v>
                </c:pt>
                <c:pt idx="78">
                  <c:v>24058</c:v>
                </c:pt>
                <c:pt idx="79">
                  <c:v>24207.5</c:v>
                </c:pt>
                <c:pt idx="80">
                  <c:v>24395</c:v>
                </c:pt>
                <c:pt idx="81">
                  <c:v>24478</c:v>
                </c:pt>
                <c:pt idx="82">
                  <c:v>24832</c:v>
                </c:pt>
                <c:pt idx="83">
                  <c:v>25372</c:v>
                </c:pt>
                <c:pt idx="84">
                  <c:v>25373</c:v>
                </c:pt>
                <c:pt idx="85">
                  <c:v>25508</c:v>
                </c:pt>
                <c:pt idx="86">
                  <c:v>25520</c:v>
                </c:pt>
                <c:pt idx="87">
                  <c:v>25667.333333333332</c:v>
                </c:pt>
                <c:pt idx="88">
                  <c:v>25872</c:v>
                </c:pt>
                <c:pt idx="89">
                  <c:v>26218</c:v>
                </c:pt>
                <c:pt idx="90">
                  <c:v>26246</c:v>
                </c:pt>
                <c:pt idx="91">
                  <c:v>26292.833333333332</c:v>
                </c:pt>
                <c:pt idx="92">
                  <c:v>26306.666666666668</c:v>
                </c:pt>
                <c:pt idx="93">
                  <c:v>26312</c:v>
                </c:pt>
                <c:pt idx="94">
                  <c:v>26666</c:v>
                </c:pt>
                <c:pt idx="95">
                  <c:v>26814</c:v>
                </c:pt>
                <c:pt idx="96">
                  <c:v>26839</c:v>
                </c:pt>
                <c:pt idx="97">
                  <c:v>26856</c:v>
                </c:pt>
                <c:pt idx="98">
                  <c:v>26874</c:v>
                </c:pt>
                <c:pt idx="99">
                  <c:v>27017</c:v>
                </c:pt>
                <c:pt idx="100">
                  <c:v>27057</c:v>
                </c:pt>
                <c:pt idx="101">
                  <c:v>27213</c:v>
                </c:pt>
                <c:pt idx="102">
                  <c:v>27612</c:v>
                </c:pt>
                <c:pt idx="103">
                  <c:v>27766.75</c:v>
                </c:pt>
                <c:pt idx="104">
                  <c:v>28314</c:v>
                </c:pt>
                <c:pt idx="105">
                  <c:v>28407</c:v>
                </c:pt>
                <c:pt idx="106">
                  <c:v>28528</c:v>
                </c:pt>
                <c:pt idx="107">
                  <c:v>28926</c:v>
                </c:pt>
                <c:pt idx="108">
                  <c:v>28958</c:v>
                </c:pt>
                <c:pt idx="109">
                  <c:v>29004</c:v>
                </c:pt>
                <c:pt idx="110">
                  <c:v>29078.5</c:v>
                </c:pt>
                <c:pt idx="111">
                  <c:v>29668.5</c:v>
                </c:pt>
                <c:pt idx="112">
                  <c:v>29702</c:v>
                </c:pt>
                <c:pt idx="113">
                  <c:v>30012</c:v>
                </c:pt>
                <c:pt idx="114">
                  <c:v>30017</c:v>
                </c:pt>
                <c:pt idx="115">
                  <c:v>30115</c:v>
                </c:pt>
                <c:pt idx="116">
                  <c:v>30136</c:v>
                </c:pt>
                <c:pt idx="117">
                  <c:v>30995</c:v>
                </c:pt>
                <c:pt idx="118">
                  <c:v>31089</c:v>
                </c:pt>
                <c:pt idx="119">
                  <c:v>32277</c:v>
                </c:pt>
                <c:pt idx="120">
                  <c:v>33100</c:v>
                </c:pt>
                <c:pt idx="121">
                  <c:v>35185</c:v>
                </c:pt>
                <c:pt idx="122">
                  <c:v>35573</c:v>
                </c:pt>
                <c:pt idx="123">
                  <c:v>37888</c:v>
                </c:pt>
                <c:pt idx="124">
                  <c:v>39150</c:v>
                </c:pt>
                <c:pt idx="125">
                  <c:v>42081</c:v>
                </c:pt>
                <c:pt idx="126">
                  <c:v>42781</c:v>
                </c:pt>
                <c:pt idx="127">
                  <c:v>43386</c:v>
                </c:pt>
                <c:pt idx="128">
                  <c:v>43522</c:v>
                </c:pt>
                <c:pt idx="129">
                  <c:v>46558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631-3A44-9A91-C700DEE4DA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4873535"/>
        <c:axId val="493384239"/>
      </c:lineChart>
      <c:lineChart>
        <c:grouping val="stacked"/>
        <c:varyColors val="0"/>
        <c:ser>
          <c:idx val="0"/>
          <c:order val="0"/>
          <c:tx>
            <c:strRef>
              <c:f>'B_pivot FINAL'!$B$1</c:f>
              <c:strCache>
                <c:ptCount val="1"/>
                <c:pt idx="0">
                  <c:v>Average of % Staying in Same Commuting Zone as Adults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'B_pivot FINAL'!$A$2:$A$132</c:f>
              <c:strCache>
                <c:ptCount val="130"/>
                <c:pt idx="0">
                  <c:v>Mill Hill, Baltimore, MD</c:v>
                </c:pt>
                <c:pt idx="1">
                  <c:v>Bentalou-Smallwood, Baltimore, MD</c:v>
                </c:pt>
                <c:pt idx="2">
                  <c:v>Mount Clare, Baltimore, MD</c:v>
                </c:pt>
                <c:pt idx="3">
                  <c:v>Milton - Montford, Baltimore, MD</c:v>
                </c:pt>
                <c:pt idx="4">
                  <c:v>Shipley Hill, Baltimore, MD</c:v>
                </c:pt>
                <c:pt idx="5">
                  <c:v>Pratt Monroe, Baltimore, MD</c:v>
                </c:pt>
                <c:pt idx="6">
                  <c:v>Druid Heights, Baltimore, MD</c:v>
                </c:pt>
                <c:pt idx="7">
                  <c:v>Franklin Square, Baltimore, MD</c:v>
                </c:pt>
                <c:pt idx="8">
                  <c:v>Claremont - Freedom, Baltimore, MD</c:v>
                </c:pt>
                <c:pt idx="9">
                  <c:v>O'Donnell Heights, Baltimore, MD</c:v>
                </c:pt>
                <c:pt idx="10">
                  <c:v>Westport, Baltimore, MD</c:v>
                </c:pt>
                <c:pt idx="11">
                  <c:v>Pigtown, Baltimore, MD</c:v>
                </c:pt>
                <c:pt idx="12">
                  <c:v>Johnson Square, Baltimore, MD</c:v>
                </c:pt>
                <c:pt idx="13">
                  <c:v>Pleasant View Gardens, Baltimore, MD</c:v>
                </c:pt>
                <c:pt idx="14">
                  <c:v>Upton, Baltimore, MD</c:v>
                </c:pt>
                <c:pt idx="15">
                  <c:v>McCulloh Homes, Baltimore, MD</c:v>
                </c:pt>
                <c:pt idx="16">
                  <c:v>Reservoir Hill, Baltimore, MD</c:v>
                </c:pt>
                <c:pt idx="17">
                  <c:v>Broadway East, Baltimore, MD</c:v>
                </c:pt>
                <c:pt idx="18">
                  <c:v>Oliver, Baltimore, MD</c:v>
                </c:pt>
                <c:pt idx="19">
                  <c:v>Poppleton, Baltimore, MD</c:v>
                </c:pt>
                <c:pt idx="20">
                  <c:v>Curtis Bay, Baltimore, MD</c:v>
                </c:pt>
                <c:pt idx="21">
                  <c:v>Harlem Park, Baltimore, MD</c:v>
                </c:pt>
                <c:pt idx="22">
                  <c:v>East Baltimore Midway, Baltimore, MD</c:v>
                </c:pt>
                <c:pt idx="23">
                  <c:v>Madison - Eastend, Baltimore, MD</c:v>
                </c:pt>
                <c:pt idx="24">
                  <c:v>Sandtown-Winchester, Baltimore, MD</c:v>
                </c:pt>
                <c:pt idx="25">
                  <c:v>Gay Street, Baltimore, MD</c:v>
                </c:pt>
                <c:pt idx="26">
                  <c:v>Perkins Homes, Baltimore, MD</c:v>
                </c:pt>
                <c:pt idx="27">
                  <c:v>Mondawmin, Baltimore, MD</c:v>
                </c:pt>
                <c:pt idx="28">
                  <c:v>Greenmount West, Baltimore, MD</c:v>
                </c:pt>
                <c:pt idx="29">
                  <c:v>NW Community Action, Baltimore, MD</c:v>
                </c:pt>
                <c:pt idx="30">
                  <c:v>Hollins Market, Baltimore, MD</c:v>
                </c:pt>
                <c:pt idx="31">
                  <c:v>Penn North, Baltimore, MD</c:v>
                </c:pt>
                <c:pt idx="32">
                  <c:v>Cherry Hill, Baltimore, MD</c:v>
                </c:pt>
                <c:pt idx="33">
                  <c:v>Old Goucher, Baltimore, MD</c:v>
                </c:pt>
                <c:pt idx="34">
                  <c:v>Langston Hughes, Baltimore, MD</c:v>
                </c:pt>
                <c:pt idx="35">
                  <c:v>Remington, Baltimore, MD</c:v>
                </c:pt>
                <c:pt idx="36">
                  <c:v>Rosemont, Baltimore, MD</c:v>
                </c:pt>
                <c:pt idx="37">
                  <c:v>Midtown Edmondson, Baltimore, MD</c:v>
                </c:pt>
                <c:pt idx="38">
                  <c:v>Butchers Hill, Baltimore, MD</c:v>
                </c:pt>
                <c:pt idx="39">
                  <c:v>Berea, Baltimore, MD</c:v>
                </c:pt>
                <c:pt idx="40">
                  <c:v>Coppin Heights, Baltimore, MD</c:v>
                </c:pt>
                <c:pt idx="41">
                  <c:v>Patterson Park, Baltimore, MD</c:v>
                </c:pt>
                <c:pt idx="42">
                  <c:v>Lexington, Baltimore, MD</c:v>
                </c:pt>
                <c:pt idx="43">
                  <c:v>Harwood, Baltimore, MD</c:v>
                </c:pt>
                <c:pt idx="44">
                  <c:v>Baltimore Highlands, Baltimore, MD</c:v>
                </c:pt>
                <c:pt idx="45">
                  <c:v>Woodbrook, Baltimore, MD</c:v>
                </c:pt>
                <c:pt idx="46">
                  <c:v>Coldstream - Homestead - Montebello, Baltimore, MD</c:v>
                </c:pt>
                <c:pt idx="47">
                  <c:v>Darley Park, Baltimore, MD</c:v>
                </c:pt>
                <c:pt idx="48">
                  <c:v>Saint Joseph's, Baltimore, MD</c:v>
                </c:pt>
                <c:pt idx="49">
                  <c:v>Barclay, Baltimore, MD</c:v>
                </c:pt>
                <c:pt idx="50">
                  <c:v>Edgecomb, Baltimore, MD</c:v>
                </c:pt>
                <c:pt idx="51">
                  <c:v>Armistead Gardens, Baltimore, MD</c:v>
                </c:pt>
                <c:pt idx="52">
                  <c:v>Lakeland, Baltimore, MD</c:v>
                </c:pt>
                <c:pt idx="53">
                  <c:v>Central Park Heights, Baltimore, MD</c:v>
                </c:pt>
                <c:pt idx="54">
                  <c:v>Park Circle, Baltimore, MD</c:v>
                </c:pt>
                <c:pt idx="55">
                  <c:v>South Baltimore, Baltimore, MD</c:v>
                </c:pt>
                <c:pt idx="56">
                  <c:v>Arlington, Baltimore, MD</c:v>
                </c:pt>
                <c:pt idx="57">
                  <c:v>Mosher, Baltimore, MD</c:v>
                </c:pt>
                <c:pt idx="58">
                  <c:v>Better Waverly, Baltimore, MD</c:v>
                </c:pt>
                <c:pt idx="59">
                  <c:v>Bridgeview-Greenlawn, Baltimore, MD</c:v>
                </c:pt>
                <c:pt idx="60">
                  <c:v>Downtown, Baltimore, MD</c:v>
                </c:pt>
                <c:pt idx="61">
                  <c:v>Edmondson, Baltimore, MD</c:v>
                </c:pt>
                <c:pt idx="62">
                  <c:v>Brooklyn, Baltimore, MD</c:v>
                </c:pt>
                <c:pt idx="63">
                  <c:v>Dorchester, Baltimore, MD</c:v>
                </c:pt>
                <c:pt idx="64">
                  <c:v>Reisterstown Station, Baltimore, MD</c:v>
                </c:pt>
                <c:pt idx="65">
                  <c:v>Cedonia, Baltimore, MD</c:v>
                </c:pt>
                <c:pt idx="66">
                  <c:v>Winston - Govans, Baltimore, MD</c:v>
                </c:pt>
                <c:pt idx="67">
                  <c:v>Burleith-Leighton, Baltimore, MD</c:v>
                </c:pt>
                <c:pt idx="68">
                  <c:v>Allendale, Baltimore, MD</c:v>
                </c:pt>
                <c:pt idx="69">
                  <c:v>Little Italy, Baltimore, MD</c:v>
                </c:pt>
                <c:pt idx="70">
                  <c:v>Parkside, Baltimore, MD</c:v>
                </c:pt>
                <c:pt idx="71">
                  <c:v>Hanlon Longwood, Baltimore, MD</c:v>
                </c:pt>
                <c:pt idx="72">
                  <c:v>Upper Fells Point, Baltimore, MD</c:v>
                </c:pt>
                <c:pt idx="73">
                  <c:v>Windsor Hills, Baltimore, MD</c:v>
                </c:pt>
                <c:pt idx="74">
                  <c:v>Yale Heights, Baltimore, MD</c:v>
                </c:pt>
                <c:pt idx="75">
                  <c:v>Belair - Edison, Baltimore, MD</c:v>
                </c:pt>
                <c:pt idx="76">
                  <c:v>Fifteenth Street, Baltimore, MD</c:v>
                </c:pt>
                <c:pt idx="77">
                  <c:v>Frankford, Baltimore, MD</c:v>
                </c:pt>
                <c:pt idx="78">
                  <c:v>West Forest Park, Baltimore, MD</c:v>
                </c:pt>
                <c:pt idx="79">
                  <c:v>Irvington, Baltimore, MD</c:v>
                </c:pt>
                <c:pt idx="80">
                  <c:v>Morrell Park, Baltimore, MD</c:v>
                </c:pt>
                <c:pt idx="81">
                  <c:v>Garwyn Oaks, Baltimore, MD</c:v>
                </c:pt>
                <c:pt idx="82">
                  <c:v>Rognel Heights, Baltimore, MD</c:v>
                </c:pt>
                <c:pt idx="83">
                  <c:v>Mid-Govans, Baltimore, MD</c:v>
                </c:pt>
                <c:pt idx="84">
                  <c:v>Hampden, Baltimore, MD</c:v>
                </c:pt>
                <c:pt idx="85">
                  <c:v>Woodberry, Baltimore, MD</c:v>
                </c:pt>
                <c:pt idx="86">
                  <c:v>Medford - Broening, Baltimore, MD</c:v>
                </c:pt>
                <c:pt idx="87">
                  <c:v>Ednor Gardens - Lakeside, Baltimore, MD</c:v>
                </c:pt>
                <c:pt idx="88">
                  <c:v>Fallstaff, Baltimore, MD</c:v>
                </c:pt>
                <c:pt idx="89">
                  <c:v>Beechfield, Baltimore, MD</c:v>
                </c:pt>
                <c:pt idx="90">
                  <c:v>New Northwood, Baltimore, MD</c:v>
                </c:pt>
                <c:pt idx="91">
                  <c:v>Gwynn Oak, Baltimore, MD</c:v>
                </c:pt>
                <c:pt idx="92">
                  <c:v>Harford - Echodale - Perring Parkway, Baltimore, MD</c:v>
                </c:pt>
                <c:pt idx="93">
                  <c:v>East Arlington, Baltimore, MD</c:v>
                </c:pt>
                <c:pt idx="94">
                  <c:v>Walbrook, Baltimore, MD</c:v>
                </c:pt>
                <c:pt idx="95">
                  <c:v>Joseph Lee, Baltimore, MD</c:v>
                </c:pt>
                <c:pt idx="96">
                  <c:v>Glen, Baltimore, MD</c:v>
                </c:pt>
                <c:pt idx="97">
                  <c:v>Loch Raven, Baltimore, MD</c:v>
                </c:pt>
                <c:pt idx="98">
                  <c:v>Idlewood, Baltimore, MD</c:v>
                </c:pt>
                <c:pt idx="99">
                  <c:v>Perring Loch, Baltimore, MD</c:v>
                </c:pt>
                <c:pt idx="100">
                  <c:v>Riverside Park, Baltimore, MD</c:v>
                </c:pt>
                <c:pt idx="101">
                  <c:v>Cedmont, Baltimore, MD</c:v>
                </c:pt>
                <c:pt idx="102">
                  <c:v>Hillen, Baltimore, MD</c:v>
                </c:pt>
                <c:pt idx="103">
                  <c:v>Canton, Baltimore, MD</c:v>
                </c:pt>
                <c:pt idx="104">
                  <c:v>Violetville, Baltimore, MD</c:v>
                </c:pt>
                <c:pt idx="105">
                  <c:v>Ramblewood, Baltimore, MD</c:v>
                </c:pt>
                <c:pt idx="106">
                  <c:v>Locust Point, Baltimore, MD</c:v>
                </c:pt>
                <c:pt idx="107">
                  <c:v>Bolton Hill, Baltimore, MD</c:v>
                </c:pt>
                <c:pt idx="108">
                  <c:v>Radnor - Winston, Baltimore, MD</c:v>
                </c:pt>
                <c:pt idx="109">
                  <c:v>Medfield, Baltimore, MD</c:v>
                </c:pt>
                <c:pt idx="110">
                  <c:v>Riverside, Baltimore, MD</c:v>
                </c:pt>
                <c:pt idx="111">
                  <c:v>Lauraville, Baltimore, MD</c:v>
                </c:pt>
                <c:pt idx="112">
                  <c:v>Glenham-Belford, Baltimore, MD</c:v>
                </c:pt>
                <c:pt idx="113">
                  <c:v>Arcadia, Baltimore, MD</c:v>
                </c:pt>
                <c:pt idx="114">
                  <c:v>Lake Walker, Baltimore, MD</c:v>
                </c:pt>
                <c:pt idx="115">
                  <c:v>Westgate, Baltimore, MD</c:v>
                </c:pt>
                <c:pt idx="116">
                  <c:v>Cross Country, Baltimore, MD</c:v>
                </c:pt>
                <c:pt idx="117">
                  <c:v>Waltherson, Baltimore, MD</c:v>
                </c:pt>
                <c:pt idx="118">
                  <c:v>Woodring, Baltimore, MD</c:v>
                </c:pt>
                <c:pt idx="119">
                  <c:v>Cheswolde, Baltimore, MD</c:v>
                </c:pt>
                <c:pt idx="120">
                  <c:v>North Harford Road, Baltimore, MD</c:v>
                </c:pt>
                <c:pt idx="121">
                  <c:v>Cross Keys, Baltimore, MD</c:v>
                </c:pt>
                <c:pt idx="122">
                  <c:v>Cold Springs, Baltimore, MD</c:v>
                </c:pt>
                <c:pt idx="123">
                  <c:v>Mid-Charles, Baltimore, MD</c:v>
                </c:pt>
                <c:pt idx="124">
                  <c:v>Fells Point, Baltimore, MD</c:v>
                </c:pt>
                <c:pt idx="125">
                  <c:v>Homeland, Baltimore, MD</c:v>
                </c:pt>
                <c:pt idx="126">
                  <c:v>Roland Park, Baltimore, MD</c:v>
                </c:pt>
                <c:pt idx="127">
                  <c:v>Tuscany - Canterbury, Baltimore, MD</c:v>
                </c:pt>
                <c:pt idx="128">
                  <c:v>Evergreen, Baltimore, MD</c:v>
                </c:pt>
                <c:pt idx="129">
                  <c:v>Mount Washington, Baltimore, MD</c:v>
                </c:pt>
              </c:strCache>
            </c:strRef>
          </c:cat>
          <c:val>
            <c:numRef>
              <c:f>'B_pivot FINAL'!$B$2:$B$132</c:f>
              <c:numCache>
                <c:formatCode>0%</c:formatCode>
                <c:ptCount val="130"/>
                <c:pt idx="0">
                  <c:v>0.82199999999999995</c:v>
                </c:pt>
                <c:pt idx="1">
                  <c:v>0.80200000000000005</c:v>
                </c:pt>
                <c:pt idx="2">
                  <c:v>0.85360000000000003</c:v>
                </c:pt>
                <c:pt idx="3">
                  <c:v>0.89549999999999996</c:v>
                </c:pt>
                <c:pt idx="4">
                  <c:v>0.88719999999999999</c:v>
                </c:pt>
                <c:pt idx="5">
                  <c:v>0.79930000000000001</c:v>
                </c:pt>
                <c:pt idx="6">
                  <c:v>0.88349999999999995</c:v>
                </c:pt>
                <c:pt idx="7">
                  <c:v>0.90339999999999998</c:v>
                </c:pt>
                <c:pt idx="8">
                  <c:v>0.8669</c:v>
                </c:pt>
                <c:pt idx="9">
                  <c:v>0.88270000000000004</c:v>
                </c:pt>
                <c:pt idx="10">
                  <c:v>0.89690000000000003</c:v>
                </c:pt>
                <c:pt idx="11">
                  <c:v>0.87579999999999991</c:v>
                </c:pt>
                <c:pt idx="12">
                  <c:v>0.90310000000000001</c:v>
                </c:pt>
                <c:pt idx="13">
                  <c:v>0.90400000000000003</c:v>
                </c:pt>
                <c:pt idx="14">
                  <c:v>0.89280000000000004</c:v>
                </c:pt>
                <c:pt idx="15">
                  <c:v>0.88819999999999999</c:v>
                </c:pt>
                <c:pt idx="16">
                  <c:v>0.8679</c:v>
                </c:pt>
                <c:pt idx="17">
                  <c:v>0.89103999999999994</c:v>
                </c:pt>
                <c:pt idx="18">
                  <c:v>0.89649999999999996</c:v>
                </c:pt>
                <c:pt idx="19">
                  <c:v>0.92405000000000004</c:v>
                </c:pt>
                <c:pt idx="20">
                  <c:v>0.76429999999999998</c:v>
                </c:pt>
                <c:pt idx="21">
                  <c:v>0.8841</c:v>
                </c:pt>
                <c:pt idx="22">
                  <c:v>0.89590000000000003</c:v>
                </c:pt>
                <c:pt idx="23">
                  <c:v>0.91090000000000004</c:v>
                </c:pt>
                <c:pt idx="24">
                  <c:v>0.91725000000000001</c:v>
                </c:pt>
                <c:pt idx="25">
                  <c:v>0.89119999999999999</c:v>
                </c:pt>
                <c:pt idx="26">
                  <c:v>0.90010000000000001</c:v>
                </c:pt>
                <c:pt idx="27">
                  <c:v>0.9042</c:v>
                </c:pt>
                <c:pt idx="28">
                  <c:v>0.90159999999999996</c:v>
                </c:pt>
                <c:pt idx="29">
                  <c:v>0.8972</c:v>
                </c:pt>
                <c:pt idx="30">
                  <c:v>0.86419999999999997</c:v>
                </c:pt>
                <c:pt idx="31">
                  <c:v>0.91120000000000001</c:v>
                </c:pt>
                <c:pt idx="32">
                  <c:v>0.88356666666666672</c:v>
                </c:pt>
                <c:pt idx="33">
                  <c:v>0.83579999999999999</c:v>
                </c:pt>
                <c:pt idx="34">
                  <c:v>0.87239999999999995</c:v>
                </c:pt>
                <c:pt idx="35">
                  <c:v>0.77980000000000005</c:v>
                </c:pt>
                <c:pt idx="36">
                  <c:v>0.87019999999999997</c:v>
                </c:pt>
                <c:pt idx="37">
                  <c:v>0.8851</c:v>
                </c:pt>
                <c:pt idx="38">
                  <c:v>0.871</c:v>
                </c:pt>
                <c:pt idx="39">
                  <c:v>0.88359999999999994</c:v>
                </c:pt>
                <c:pt idx="40">
                  <c:v>0.92100000000000004</c:v>
                </c:pt>
                <c:pt idx="41">
                  <c:v>0.86736666666666673</c:v>
                </c:pt>
                <c:pt idx="42">
                  <c:v>0.92110000000000003</c:v>
                </c:pt>
                <c:pt idx="43">
                  <c:v>0.86639999999999995</c:v>
                </c:pt>
                <c:pt idx="44">
                  <c:v>0.83955000000000002</c:v>
                </c:pt>
                <c:pt idx="45">
                  <c:v>0.88970000000000005</c:v>
                </c:pt>
                <c:pt idx="46">
                  <c:v>0.89149999999999996</c:v>
                </c:pt>
                <c:pt idx="47">
                  <c:v>0.9083</c:v>
                </c:pt>
                <c:pt idx="48">
                  <c:v>0.89190000000000003</c:v>
                </c:pt>
                <c:pt idx="49">
                  <c:v>0.92500000000000004</c:v>
                </c:pt>
                <c:pt idx="50">
                  <c:v>0.87519999999999998</c:v>
                </c:pt>
                <c:pt idx="51">
                  <c:v>0.82509999999999994</c:v>
                </c:pt>
                <c:pt idx="52">
                  <c:v>0.86550000000000005</c:v>
                </c:pt>
                <c:pt idx="53">
                  <c:v>0.88024999999999998</c:v>
                </c:pt>
                <c:pt idx="54">
                  <c:v>0.88660000000000005</c:v>
                </c:pt>
                <c:pt idx="55">
                  <c:v>0.84875</c:v>
                </c:pt>
                <c:pt idx="56">
                  <c:v>0.87219999999999998</c:v>
                </c:pt>
                <c:pt idx="57">
                  <c:v>0.9073</c:v>
                </c:pt>
                <c:pt idx="58">
                  <c:v>0.85414999999999996</c:v>
                </c:pt>
                <c:pt idx="59">
                  <c:v>0.87639999999999996</c:v>
                </c:pt>
                <c:pt idx="60">
                  <c:v>0.73684000000000005</c:v>
                </c:pt>
                <c:pt idx="61">
                  <c:v>0.87129999999999996</c:v>
                </c:pt>
                <c:pt idx="62">
                  <c:v>0.79932499999999995</c:v>
                </c:pt>
                <c:pt idx="63">
                  <c:v>0.86429999999999996</c:v>
                </c:pt>
                <c:pt idx="64">
                  <c:v>0.83720000000000006</c:v>
                </c:pt>
                <c:pt idx="65">
                  <c:v>0.87360000000000004</c:v>
                </c:pt>
                <c:pt idx="66">
                  <c:v>0.87119999999999997</c:v>
                </c:pt>
                <c:pt idx="67">
                  <c:v>0.86929999999999996</c:v>
                </c:pt>
                <c:pt idx="68">
                  <c:v>0.89170000000000005</c:v>
                </c:pt>
                <c:pt idx="69">
                  <c:v>0.7359</c:v>
                </c:pt>
                <c:pt idx="70">
                  <c:v>0.86380000000000001</c:v>
                </c:pt>
                <c:pt idx="71">
                  <c:v>0.84530000000000005</c:v>
                </c:pt>
                <c:pt idx="72">
                  <c:v>0.76040000000000008</c:v>
                </c:pt>
                <c:pt idx="73">
                  <c:v>0.87839999999999996</c:v>
                </c:pt>
                <c:pt idx="74">
                  <c:v>0.85040000000000004</c:v>
                </c:pt>
                <c:pt idx="75">
                  <c:v>0.86862499999999998</c:v>
                </c:pt>
                <c:pt idx="76">
                  <c:v>0.78580000000000005</c:v>
                </c:pt>
                <c:pt idx="77">
                  <c:v>0.84887500000000005</c:v>
                </c:pt>
                <c:pt idx="78">
                  <c:v>0.84340000000000004</c:v>
                </c:pt>
                <c:pt idx="79">
                  <c:v>0.86724999999999997</c:v>
                </c:pt>
                <c:pt idx="80">
                  <c:v>0.81284999999999996</c:v>
                </c:pt>
                <c:pt idx="81">
                  <c:v>0.85819999999999996</c:v>
                </c:pt>
                <c:pt idx="82">
                  <c:v>0.88429999999999997</c:v>
                </c:pt>
                <c:pt idx="83">
                  <c:v>0.82679999999999998</c:v>
                </c:pt>
                <c:pt idx="84">
                  <c:v>0.77566666666666662</c:v>
                </c:pt>
                <c:pt idx="85">
                  <c:v>0.78369999999999995</c:v>
                </c:pt>
                <c:pt idx="86">
                  <c:v>0.79300000000000004</c:v>
                </c:pt>
                <c:pt idx="87">
                  <c:v>0.83213333333333328</c:v>
                </c:pt>
                <c:pt idx="88">
                  <c:v>0.67120000000000002</c:v>
                </c:pt>
                <c:pt idx="89">
                  <c:v>0.86850000000000005</c:v>
                </c:pt>
                <c:pt idx="90">
                  <c:v>0.86150000000000004</c:v>
                </c:pt>
                <c:pt idx="91">
                  <c:v>0.81153333333333333</c:v>
                </c:pt>
                <c:pt idx="92">
                  <c:v>0.81576666666666664</c:v>
                </c:pt>
                <c:pt idx="93">
                  <c:v>0.84540000000000004</c:v>
                </c:pt>
                <c:pt idx="94">
                  <c:v>0.86799999999999999</c:v>
                </c:pt>
                <c:pt idx="95">
                  <c:v>0.81899999999999995</c:v>
                </c:pt>
                <c:pt idx="96">
                  <c:v>0.69805000000000006</c:v>
                </c:pt>
                <c:pt idx="97">
                  <c:v>0.8105</c:v>
                </c:pt>
                <c:pt idx="98">
                  <c:v>0.84740000000000004</c:v>
                </c:pt>
                <c:pt idx="99">
                  <c:v>0.82989999999999997</c:v>
                </c:pt>
                <c:pt idx="100">
                  <c:v>0.84699999999999998</c:v>
                </c:pt>
                <c:pt idx="101">
                  <c:v>0.82569999999999999</c:v>
                </c:pt>
                <c:pt idx="102">
                  <c:v>0.81540000000000001</c:v>
                </c:pt>
                <c:pt idx="103">
                  <c:v>0.75004999999999999</c:v>
                </c:pt>
                <c:pt idx="104">
                  <c:v>0.74180000000000001</c:v>
                </c:pt>
                <c:pt idx="105">
                  <c:v>0.84660000000000002</c:v>
                </c:pt>
                <c:pt idx="106">
                  <c:v>0.75849999999999995</c:v>
                </c:pt>
                <c:pt idx="107">
                  <c:v>0.69399999999999995</c:v>
                </c:pt>
                <c:pt idx="108">
                  <c:v>0.72629999999999995</c:v>
                </c:pt>
                <c:pt idx="109">
                  <c:v>0.75849999999999995</c:v>
                </c:pt>
                <c:pt idx="110">
                  <c:v>0.7591</c:v>
                </c:pt>
                <c:pt idx="111">
                  <c:v>0.7722</c:v>
                </c:pt>
                <c:pt idx="112">
                  <c:v>0.79464999999999997</c:v>
                </c:pt>
                <c:pt idx="113">
                  <c:v>0.78359999999999996</c:v>
                </c:pt>
                <c:pt idx="114">
                  <c:v>0.70240000000000002</c:v>
                </c:pt>
                <c:pt idx="115">
                  <c:v>0.77700000000000002</c:v>
                </c:pt>
                <c:pt idx="116">
                  <c:v>0.54649999999999999</c:v>
                </c:pt>
                <c:pt idx="117">
                  <c:v>0.77665000000000006</c:v>
                </c:pt>
                <c:pt idx="118">
                  <c:v>0.75760000000000005</c:v>
                </c:pt>
                <c:pt idx="119">
                  <c:v>0.58440000000000003</c:v>
                </c:pt>
                <c:pt idx="120">
                  <c:v>0.74875000000000003</c:v>
                </c:pt>
                <c:pt idx="121">
                  <c:v>0.60899999999999999</c:v>
                </c:pt>
                <c:pt idx="122">
                  <c:v>0.67200000000000004</c:v>
                </c:pt>
                <c:pt idx="123">
                  <c:v>0.37590000000000001</c:v>
                </c:pt>
                <c:pt idx="124">
                  <c:v>0.5665</c:v>
                </c:pt>
                <c:pt idx="125">
                  <c:v>0.51659999999999995</c:v>
                </c:pt>
                <c:pt idx="126">
                  <c:v>0.4153</c:v>
                </c:pt>
                <c:pt idx="127">
                  <c:v>0.47139999999999999</c:v>
                </c:pt>
                <c:pt idx="128">
                  <c:v>0.43419999999999997</c:v>
                </c:pt>
                <c:pt idx="129">
                  <c:v>0.41120000000000001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631-3A44-9A91-C700DEE4DA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3286351"/>
        <c:axId val="513253183"/>
      </c:lineChart>
      <c:catAx>
        <c:axId val="494873535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0" i="0" baseline="0">
                    <a:effectLst/>
                  </a:rPr>
                  <a:t>Names of Neighborhoods in Baltimore, MD</a:t>
                </a:r>
                <a:endParaRPr lang="en-US" sz="1200">
                  <a:effectLst/>
                </a:endParaRPr>
              </a:p>
            </c:rich>
          </c:tx>
          <c:layout>
            <c:manualLayout>
              <c:xMode val="edge"/>
              <c:yMode val="edge"/>
              <c:x val="0.29377285357767952"/>
              <c:y val="0.9432208857578897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1000" b="0" i="0" u="none" strike="noStrike" kern="1200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384239"/>
        <c:crosses val="autoZero"/>
        <c:auto val="1"/>
        <c:lblAlgn val="ctr"/>
        <c:lblOffset val="100"/>
        <c:noMultiLvlLbl val="0"/>
      </c:catAx>
      <c:valAx>
        <c:axId val="4933842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 </a:t>
                </a:r>
                <a:r>
                  <a:rPr lang="en-US" sz="1200" b="0" i="0" baseline="0">
                    <a:effectLst/>
                  </a:rPr>
                  <a:t>Average of Individual Income ($) </a:t>
                </a:r>
                <a:endParaRPr lang="en-US" sz="1200">
                  <a:effectLst/>
                </a:endParaRPr>
              </a:p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1000" b="0" i="0" u="none" strike="noStrike" kern="1200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873535"/>
        <c:crosses val="autoZero"/>
        <c:crossBetween val="between"/>
      </c:valAx>
      <c:valAx>
        <c:axId val="513253183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 </a:t>
                </a:r>
                <a:r>
                  <a:rPr lang="en-US" sz="1200" b="0" i="0" baseline="0">
                    <a:effectLst/>
                  </a:rPr>
                  <a:t>Average of % staying in the same commuting zone as adults</a:t>
                </a:r>
                <a:endParaRPr lang="en-US" sz="1200">
                  <a:effectLst/>
                </a:endParaRPr>
              </a:p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1000" b="0" i="0" u="none" strike="noStrike" kern="1200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3286351"/>
        <c:crosses val="max"/>
        <c:crossBetween val="between"/>
      </c:valAx>
      <c:catAx>
        <c:axId val="51328635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13253183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912789861661736"/>
          <c:y val="0.50920334156977021"/>
          <c:w val="0.20213436889605746"/>
          <c:h val="0.1317829271398281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619070</xdr:colOff>
      <xdr:row>3</xdr:row>
      <xdr:rowOff>25400</xdr:rowOff>
    </xdr:from>
    <xdr:to>
      <xdr:col>16</xdr:col>
      <xdr:colOff>802804</xdr:colOff>
      <xdr:row>35</xdr:row>
      <xdr:rowOff>150678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1D7B04C-3343-6C4E-9EE6-0400B6627E2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804202</xdr:colOff>
      <xdr:row>3</xdr:row>
      <xdr:rowOff>156289</xdr:rowOff>
    </xdr:from>
    <xdr:to>
      <xdr:col>16</xdr:col>
      <xdr:colOff>603771</xdr:colOff>
      <xdr:row>39</xdr:row>
      <xdr:rowOff>105476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B415B89-F68D-1A4D-9B96-5A82A3E90B9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rosoft Office User" refreshedDate="43875.032863773151" createdVersion="6" refreshedVersion="6" minRefreshableVersion="3" recordCount="148" xr:uid="{CAEAF8EE-FD7E-4149-B9F5-C7CE7FA6652F}">
  <cacheSource type="worksheet">
    <worksheetSource ref="A1:D149" sheet="Philadelphia FINAL"/>
  </cacheSource>
  <cacheFields count="4">
    <cacheField name="Tract" numFmtId="0">
      <sharedItems containsSemiMixedTypes="0" containsString="0" containsNumber="1" containsInteger="1" minValue="42101000100" maxValue="42101980200"/>
    </cacheField>
    <cacheField name="Name" numFmtId="0">
      <sharedItems count="41">
        <s v="Center City, Philadelphia, PA"/>
        <s v="Lower Moyamensing, Philadelphia, PA"/>
        <s v="Northwest Philadelphia, Philadelphia, PA"/>
        <s v="North Philadelphia, Philadelphia, PA"/>
        <s v="Northeast Philadelphia, Philadelphia, PA"/>
        <s v="Eastwick, Philadelphia, PA"/>
        <s v="Oxford Circle/ Castor, Philadelphia, PA"/>
        <s v="South Philadelphia, Philadelphia, PA"/>
        <s v="South Philadelphia East, Philadelphia, PA"/>
        <s v="Lawncrest, Philadelphia, PA"/>
        <s v="Overbrook, Philadelphia, PA"/>
        <s v="Fishtown, Philadelphia, PA"/>
        <s v="Frankford, Philadelphia, PA"/>
        <s v="Passyunk Square, Philadelphia, PA"/>
        <s v="East Mount Airy, Philadelphia, PA"/>
        <s v="Newbold, Philadelphia, PA"/>
        <s v="Southwest Philadelphia, Philadelphia, PA"/>
        <s v="Manayunk, Philadelphia, PA"/>
        <s v="Holmesburg, Philadelphia, PA"/>
        <s v="Wynnefield Heights, Philadelphia, PA"/>
        <s v="Wynnefield, Philadelphia, PA"/>
        <s v="Brewerytown, Philadelphia, PA"/>
        <s v="Elmwood, Philadelphia, PA"/>
        <s v="Mayfair, Philadelphia, PA"/>
        <s v="Powelton Village, Philadelphia, PA"/>
        <s v="Queen Village, Philadelphia, PA"/>
        <s v="Pennsport, Philadelphia, PA"/>
        <s v="East Passyunk Crossing, Philadelphia, PA"/>
        <s v="Bridesburg, Philadelphia, PA"/>
        <s v="Bustleton, Philadelphia, PA"/>
        <s v="Chestnut Hill, Philadelphia, PA"/>
        <s v="Fox Chase/ Burholme, Philadelphia, PA"/>
        <s v="East Falls, Philadelphia, PA"/>
        <s v="Roxborough-Manayunk, Philadelphia, PA"/>
        <s v="Packer Park, Philadelphia, PA"/>
        <s v="Morrell Park, Philadelphia, PA"/>
        <s v="Mount Airy, Philadelphia, PA"/>
        <s v="Girard Estates, Philadelphia, PA"/>
        <s v="University City, Philadelphia, PA"/>
        <s v="Fairmount, Philadelphia, PA"/>
        <s v="West Philadelphia, Philadelphia, PA"/>
      </sharedItems>
    </cacheField>
    <cacheField name="%_Staying_in_Same_Commuting_Zone_as_Adults_rP_gP_pall" numFmtId="9">
      <sharedItems containsSemiMixedTypes="0" containsString="0" containsNumber="1" minValue="0.37969999999999998" maxValue="0.92169999999999996" count="142">
        <n v="0.52490000000000003"/>
        <n v="0.89429999999999998"/>
        <n v="0.81689999999999996"/>
        <n v="0.84719999999999995"/>
        <n v="0.7843"/>
        <n v="0.86319999999999997"/>
        <n v="0.86919999999999997"/>
        <n v="0.78710000000000002"/>
        <n v="0.80589999999999995"/>
        <n v="0.84050000000000002"/>
        <n v="0.89300000000000002"/>
        <n v="0.51319999999999999"/>
        <n v="0.86339999999999995"/>
        <n v="0.78390000000000004"/>
        <n v="0.77569999999999995"/>
        <n v="0.82509999999999994"/>
        <n v="0.83819999999999995"/>
        <n v="0.87160000000000004"/>
        <n v="0.8004"/>
        <n v="0.83179999999999998"/>
        <n v="0.62539999999999996"/>
        <n v="0.75170000000000003"/>
        <n v="0.80869999999999997"/>
        <n v="0.86929999999999996"/>
        <n v="0.82989999999999997"/>
        <n v="0.76670000000000005"/>
        <n v="0.56610000000000005"/>
        <n v="0.82940000000000003"/>
        <n v="0.8246"/>
        <n v="0.8054"/>
        <n v="0.79339999999999999"/>
        <n v="0.78120000000000001"/>
        <n v="0.83069999999999999"/>
        <n v="0.8044"/>
        <n v="0.83679999999999999"/>
        <n v="0.67549999999999999"/>
        <n v="0.83950000000000002"/>
        <n v="0.87980000000000003"/>
        <n v="0.78939999999999999"/>
        <n v="0.80720000000000003"/>
        <n v="0.88590000000000002"/>
        <n v="0.80659999999999998"/>
        <n v="0.79449999999999998"/>
        <n v="0.75849999999999995"/>
        <n v="0.79269999999999996"/>
        <n v="0.8407"/>
        <n v="0.83499999999999996"/>
        <n v="0.90310000000000001"/>
        <n v="0.60460000000000003"/>
        <n v="0.84150000000000003"/>
        <n v="0.85819999999999996"/>
        <n v="0.75970000000000004"/>
        <n v="0.92169999999999996"/>
        <n v="0.70989999999999998"/>
        <n v="0.879"/>
        <n v="0.88939999999999997"/>
        <n v="0.86629999999999996"/>
        <n v="0.87549999999999994"/>
        <n v="0.85060000000000002"/>
        <n v="0.7631"/>
        <n v="0.89810000000000001"/>
        <n v="0.78600000000000003"/>
        <n v="0.79210000000000003"/>
        <n v="0.45760000000000001"/>
        <n v="0.85550000000000004"/>
        <n v="0.70430000000000004"/>
        <n v="0.48070000000000002"/>
        <n v="0.61"/>
        <n v="0.85680000000000001"/>
        <n v="0.8679"/>
        <n v="0.86580000000000001"/>
        <n v="0.80769999999999997"/>
        <n v="0.80379999999999996"/>
        <n v="0.73270000000000002"/>
        <n v="0.73209999999999997"/>
        <n v="0.84440000000000004"/>
        <n v="0.87109999999999999"/>
        <n v="0.88919999999999999"/>
        <n v="0.6431"/>
        <n v="0.74419999999999997"/>
        <n v="0.88329999999999997"/>
        <n v="0.80559999999999998"/>
        <n v="0.82410000000000005"/>
        <n v="0.84489999999999998"/>
        <n v="0.83240000000000003"/>
        <n v="0.84740000000000004"/>
        <n v="0.80740000000000001"/>
        <n v="0.85309999999999997"/>
        <n v="0.86829999999999996"/>
        <n v="0.88770000000000004"/>
        <n v="0.73650000000000004"/>
        <n v="0.745"/>
        <n v="0.82220000000000004"/>
        <n v="0.67400000000000004"/>
        <n v="0.83879999999999999"/>
        <n v="0.83599999999999997"/>
        <n v="0.37969999999999998"/>
        <n v="0.8155"/>
        <n v="0.57179999999999997"/>
        <n v="0.88339999999999996"/>
        <n v="0.80269999999999997"/>
        <n v="0.64090000000000003"/>
        <n v="0.63380000000000003"/>
        <n v="0.80979999999999996"/>
        <n v="0.85419999999999996"/>
        <n v="0.77049999999999996"/>
        <n v="0.86060000000000003"/>
        <n v="0.873"/>
        <n v="0.85440000000000005"/>
        <n v="0.88580000000000003"/>
        <n v="0.76739999999999997"/>
        <n v="0.45379999999999998"/>
        <n v="0.82520000000000004"/>
        <n v="0.60370000000000001"/>
        <n v="0.46479999999999999"/>
        <n v="0.82320000000000004"/>
        <n v="0.84119999999999995"/>
        <n v="0.82709999999999995"/>
        <n v="0.59640000000000004"/>
        <n v="0.84860000000000002"/>
        <n v="0.64939999999999998"/>
        <n v="0.82950000000000002"/>
        <n v="0.4798"/>
        <n v="0.89119999999999999"/>
        <n v="0.85070000000000001"/>
        <n v="0.80910000000000004"/>
        <n v="0.63859999999999995"/>
        <n v="0.51290000000000002"/>
        <n v="0.52190000000000003"/>
        <n v="0.7288"/>
        <n v="0.66679999999999995"/>
        <n v="0.8488"/>
        <n v="0.54890000000000005"/>
        <n v="0.69389999999999996"/>
        <n v="0.5171"/>
        <n v="0.38890000000000002"/>
        <n v="0.58160000000000001"/>
        <n v="0.4234"/>
        <n v="0.62129999999999996"/>
        <n v="0.50419999999999998"/>
        <n v="0.47149999999999997"/>
        <n v="0.53110000000000002"/>
      </sharedItems>
    </cacheField>
    <cacheField name="Individual Income" numFmtId="0">
      <sharedItems containsSemiMixedTypes="0" containsString="0" containsNumber="1" containsInteger="1" minValue="27965" maxValue="45780" count="148">
        <n v="27965"/>
        <n v="27997"/>
        <n v="28018"/>
        <n v="28096"/>
        <n v="28170"/>
        <n v="28277"/>
        <n v="28294"/>
        <n v="28296"/>
        <n v="28450"/>
        <n v="28492"/>
        <n v="28518"/>
        <n v="28553"/>
        <n v="28596"/>
        <n v="28683"/>
        <n v="28690"/>
        <n v="28717"/>
        <n v="28724"/>
        <n v="28725"/>
        <n v="28765"/>
        <n v="28786"/>
        <n v="28935"/>
        <n v="29029"/>
        <n v="29063"/>
        <n v="29159"/>
        <n v="29257"/>
        <n v="29309"/>
        <n v="29311"/>
        <n v="29428"/>
        <n v="29525"/>
        <n v="29711"/>
        <n v="29733"/>
        <n v="29741"/>
        <n v="29751"/>
        <n v="29920"/>
        <n v="29975"/>
        <n v="30163"/>
        <n v="30197"/>
        <n v="30321"/>
        <n v="30379"/>
        <n v="30620"/>
        <n v="30640"/>
        <n v="30653"/>
        <n v="30901"/>
        <n v="30957"/>
        <n v="31039"/>
        <n v="31131"/>
        <n v="31134"/>
        <n v="31222"/>
        <n v="31229"/>
        <n v="31576"/>
        <n v="31653"/>
        <n v="31873"/>
        <n v="31901"/>
        <n v="31998"/>
        <n v="32117"/>
        <n v="32127"/>
        <n v="32150"/>
        <n v="32282"/>
        <n v="32331"/>
        <n v="32365"/>
        <n v="32439"/>
        <n v="32479"/>
        <n v="32480"/>
        <n v="32547"/>
        <n v="32549"/>
        <n v="32569"/>
        <n v="32629"/>
        <n v="32756"/>
        <n v="32945"/>
        <n v="32958"/>
        <n v="32984"/>
        <n v="32996"/>
        <n v="33096"/>
        <n v="33206"/>
        <n v="33295"/>
        <n v="33324"/>
        <n v="33331"/>
        <n v="33559"/>
        <n v="33605"/>
        <n v="33674"/>
        <n v="33784"/>
        <n v="33919"/>
        <n v="33926"/>
        <n v="33966"/>
        <n v="34021"/>
        <n v="34146"/>
        <n v="34177"/>
        <n v="34182"/>
        <n v="34244"/>
        <n v="34377"/>
        <n v="34433"/>
        <n v="34455"/>
        <n v="34554"/>
        <n v="34683"/>
        <n v="34793"/>
        <n v="34805"/>
        <n v="34852"/>
        <n v="34874"/>
        <n v="34956"/>
        <n v="34966"/>
        <n v="35020"/>
        <n v="35243"/>
        <n v="35404"/>
        <n v="35523"/>
        <n v="35863"/>
        <n v="35981"/>
        <n v="35988"/>
        <n v="36305"/>
        <n v="36385"/>
        <n v="36472"/>
        <n v="36480"/>
        <n v="36509"/>
        <n v="36807"/>
        <n v="36850"/>
        <n v="36886"/>
        <n v="37073"/>
        <n v="37176"/>
        <n v="37233"/>
        <n v="37293"/>
        <n v="37442"/>
        <n v="37506"/>
        <n v="37595"/>
        <n v="37738"/>
        <n v="37793"/>
        <n v="37864"/>
        <n v="38180"/>
        <n v="38510"/>
        <n v="38590"/>
        <n v="38735"/>
        <n v="39445"/>
        <n v="39514"/>
        <n v="39744"/>
        <n v="40310"/>
        <n v="40747"/>
        <n v="41024"/>
        <n v="41135"/>
        <n v="41499"/>
        <n v="41763"/>
        <n v="42033"/>
        <n v="42067"/>
        <n v="42343"/>
        <n v="42375"/>
        <n v="44138"/>
        <n v="44139"/>
        <n v="45019"/>
        <n v="45122"/>
        <n v="45428"/>
        <n v="4578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rosoft Office User" refreshedDate="43875.12701851852" createdVersion="6" refreshedVersion="6" minRefreshableVersion="3" recordCount="190" xr:uid="{724C515D-401E-124B-A3F3-134FD0F198BB}">
  <cacheSource type="worksheet">
    <worksheetSource ref="A1:D191" sheet="Baltimore FINAL"/>
  </cacheSource>
  <cacheFields count="4">
    <cacheField name="tract" numFmtId="0">
      <sharedItems containsSemiMixedTypes="0" containsString="0" containsNumber="1" containsInteger="1" minValue="24003750201" maxValue="24510280500"/>
    </cacheField>
    <cacheField name="Name" numFmtId="0">
      <sharedItems count="130">
        <s v="Poppleton, Baltimore, MD"/>
        <s v="Mill Hill, Baltimore, MD"/>
        <s v="Bentalou-Smallwood, Baltimore, MD"/>
        <s v="Broadway East, Baltimore, MD"/>
        <s v="Reservoir Hill, Baltimore, MD"/>
        <s v="Mount Clare, Baltimore, MD"/>
        <s v="Pigtown, Baltimore, MD"/>
        <s v="Milton - Montford, Baltimore, MD"/>
        <s v="Shipley Hill, Baltimore, MD"/>
        <s v="Pratt Monroe, Baltimore, MD"/>
        <s v="Patterson Park, Baltimore, MD"/>
        <s v="Cherry Hill, Baltimore, MD"/>
        <s v="Druid Heights, Baltimore, MD"/>
        <s v="Downtown, Baltimore, MD"/>
        <s v="Franklin Square, Baltimore, MD"/>
        <s v="Sandtown-Winchester, Baltimore, MD"/>
        <s v="Claremont - Freedom, Baltimore, MD"/>
        <s v="Upton, Baltimore, MD"/>
        <s v="O'Donnell Heights, Baltimore, MD"/>
        <s v="Westport, Baltimore, MD"/>
        <s v="Brooklyn, Baltimore, MD"/>
        <s v="Johnson Square, Baltimore, MD"/>
        <s v="Pleasant View Gardens, Baltimore, MD"/>
        <s v="McCulloh Homes, Baltimore, MD"/>
        <s v="Oliver, Baltimore, MD"/>
        <s v="South Baltimore, Baltimore, MD"/>
        <s v="Curtis Bay, Baltimore, MD"/>
        <s v="Berea, Baltimore, MD"/>
        <s v="Harlem Park, Baltimore, MD"/>
        <s v="East Baltimore Midway, Baltimore, MD"/>
        <s v="Lexington, Baltimore, MD"/>
        <s v="Madison - Eastend, Baltimore, MD"/>
        <s v="Gay Street, Baltimore, MD"/>
        <s v="Perkins Homes, Baltimore, MD"/>
        <s v="Mondawmin, Baltimore, MD"/>
        <s v="Greenmount West, Baltimore, MD"/>
        <s v="NW Community Action, Baltimore, MD"/>
        <s v="Hollins Market, Baltimore, MD"/>
        <s v="Baltimore Highlands, Baltimore, MD"/>
        <s v="Penn North, Baltimore, MD"/>
        <s v="Old Goucher, Baltimore, MD"/>
        <s v="Langston Hughes, Baltimore, MD"/>
        <s v="Remington, Baltimore, MD"/>
        <s v="Rosemont, Baltimore, MD"/>
        <s v="Midtown Edmondson, Baltimore, MD"/>
        <s v="Butchers Hill, Baltimore, MD"/>
        <s v="Coppin Heights, Baltimore, MD"/>
        <s v="Central Park Heights, Baltimore, MD"/>
        <s v="Coldstream - Homestead - Montebello, Baltimore, MD"/>
        <s v="Harwood, Baltimore, MD"/>
        <s v="Woodbrook, Baltimore, MD"/>
        <s v="Darley Park, Baltimore, MD"/>
        <s v="Riverside, Baltimore, MD"/>
        <s v="Harford - Echodale - Perring Parkway, Baltimore, MD"/>
        <s v="Saint Joseph's, Baltimore, MD"/>
        <s v="Barclay, Baltimore, MD"/>
        <s v="Edgecomb, Baltimore, MD"/>
        <s v="Armistead Gardens, Baltimore, MD"/>
        <s v="Lakeland, Baltimore, MD"/>
        <s v="Edmondson, Baltimore, MD"/>
        <s v="Better Waverly, Baltimore, MD"/>
        <s v="Park Circle, Baltimore, MD"/>
        <s v="Arlington, Baltimore, MD"/>
        <s v="Belair - Edison, Baltimore, MD"/>
        <s v="Mosher, Baltimore, MD"/>
        <s v="Upper Fells Point, Baltimore, MD"/>
        <s v="Bridgeview-Greenlawn, Baltimore, MD"/>
        <s v="Dorchester, Baltimore, MD"/>
        <s v="Reisterstown Station, Baltimore, MD"/>
        <s v="Cedonia, Baltimore, MD"/>
        <s v="Winston - Govans, Baltimore, MD"/>
        <s v="Frankford, Baltimore, MD"/>
        <s v="Hampden, Baltimore, MD"/>
        <s v="Burleith-Leighton, Baltimore, MD"/>
        <s v="Allendale, Baltimore, MD"/>
        <s v="Gwynn Oak, Baltimore, MD"/>
        <s v="Little Italy, Baltimore, MD"/>
        <s v="Parkside, Baltimore, MD"/>
        <s v="Ednor Gardens - Lakeside, Baltimore, MD"/>
        <s v="Hanlon Longwood, Baltimore, MD"/>
        <s v="Morrell Park, Baltimore, MD"/>
        <s v="Windsor Hills, Baltimore, MD"/>
        <s v="Irvington, Baltimore, MD"/>
        <s v="Yale Heights, Baltimore, MD"/>
        <s v="Fifteenth Street, Baltimore, MD"/>
        <s v="West Forest Park, Baltimore, MD"/>
        <s v="Garwyn Oaks, Baltimore, MD"/>
        <s v="Rognel Heights, Baltimore, MD"/>
        <s v="Canton, Baltimore, MD"/>
        <s v="Mid-Govans, Baltimore, MD"/>
        <s v="Woodberry, Baltimore, MD"/>
        <s v="Medford - Broening, Baltimore, MD"/>
        <s v="Fallstaff, Baltimore, MD"/>
        <s v="Glen, Baltimore, MD"/>
        <s v="Beechfield, Baltimore, MD"/>
        <s v="New Northwood, Baltimore, MD"/>
        <s v="East Arlington, Baltimore, MD"/>
        <s v="Walbrook, Baltimore, MD"/>
        <s v="Joseph Lee, Baltimore, MD"/>
        <s v="Loch Raven, Baltimore, MD"/>
        <s v="Idlewood, Baltimore, MD"/>
        <s v="Perring Loch, Baltimore, MD"/>
        <s v="Glenham-Belford, Baltimore, MD"/>
        <s v="Riverside Park, Baltimore, MD"/>
        <s v="Cedmont, Baltimore, MD"/>
        <s v="Hillen, Baltimore, MD"/>
        <s v="Lauraville, Baltimore, MD"/>
        <s v="Violetville, Baltimore, MD"/>
        <s v="Ramblewood, Baltimore, MD"/>
        <s v="Locust Point, Baltimore, MD"/>
        <s v="Bolton Hill, Baltimore, MD"/>
        <s v="Radnor - Winston, Baltimore, MD"/>
        <s v="Medfield, Baltimore, MD"/>
        <s v="Waltherson, Baltimore, MD"/>
        <s v="Arcadia, Baltimore, MD"/>
        <s v="Lake Walker, Baltimore, MD"/>
        <s v="Westgate, Baltimore, MD"/>
        <s v="Cross Country, Baltimore, MD"/>
        <s v="Woodring, Baltimore, MD"/>
        <s v="North Harford Road, Baltimore, MD"/>
        <s v="Cheswolde, Baltimore, MD"/>
        <s v="Cross Keys, Baltimore, MD"/>
        <s v="Cold Springs, Baltimore, MD"/>
        <s v="Mid-Charles, Baltimore, MD"/>
        <s v="Fells Point, Baltimore, MD"/>
        <s v="Homeland, Baltimore, MD"/>
        <s v="Roland Park, Baltimore, MD"/>
        <s v="Tuscany - Canterbury, Baltimore, MD"/>
        <s v="Evergreen, Baltimore, MD"/>
        <s v="Mount Washington, Baltimore, MD"/>
      </sharedItems>
    </cacheField>
    <cacheField name="%_Staying_in_Same_Commuting_Zone_as_Adults_rP_gP_pall" numFmtId="9">
      <sharedItems containsSemiMixedTypes="0" containsString="0" containsNumber="1" minValue="0.37590000000000001" maxValue="0.94479999999999997" count="185">
        <n v="0.9274"/>
        <n v="0.82199999999999995"/>
        <n v="0.80200000000000005"/>
        <n v="0.8679"/>
        <n v="0.84599999999999997"/>
        <n v="0.85360000000000003"/>
        <n v="0.89349999999999996"/>
        <n v="0.89549999999999996"/>
        <n v="0.88719999999999999"/>
        <n v="0.79930000000000001"/>
        <n v="0.89149999999999996"/>
        <n v="0.90620000000000001"/>
        <n v="0.88349999999999995"/>
        <n v="0.78080000000000005"/>
        <n v="0.90339999999999998"/>
        <n v="0.94479999999999997"/>
        <n v="0.8669"/>
        <n v="0.871"/>
        <n v="0.88270000000000004"/>
        <n v="0.89690000000000003"/>
        <n v="0.83699999999999997"/>
        <n v="0.90310000000000001"/>
        <n v="0.90400000000000003"/>
        <n v="0.89490000000000003"/>
        <n v="0.88819999999999999"/>
        <n v="0.91849999999999998"/>
        <n v="0.89649999999999996"/>
        <n v="0.872"/>
        <n v="0.76429999999999998"/>
        <n v="0.8841"/>
        <n v="0.89590000000000003"/>
        <n v="0.92789999999999995"/>
        <n v="0.91459999999999997"/>
        <n v="0.91090000000000004"/>
        <n v="0.89119999999999999"/>
        <n v="0.90010000000000001"/>
        <n v="0.77359999999999995"/>
        <n v="0.9042"/>
        <n v="0.90159999999999996"/>
        <n v="0.85809999999999997"/>
        <n v="0.8972"/>
        <n v="0.89929999999999999"/>
        <n v="0.86419999999999997"/>
        <n v="0.90449999999999997"/>
        <n v="0.9204"/>
        <n v="0.84950000000000003"/>
        <n v="0.89410000000000001"/>
        <n v="0.91120000000000001"/>
        <n v="0.83579999999999999"/>
        <n v="0.87239999999999995"/>
        <n v="0.77980000000000005"/>
        <n v="0.87019999999999997"/>
        <n v="0.8851"/>
        <n v="0.66569999999999996"/>
        <n v="0.92100000000000004"/>
        <n v="0.87980000000000003"/>
        <n v="0.88900000000000001"/>
        <n v="0.86619999999999997"/>
        <n v="0.88980000000000004"/>
        <n v="0.85540000000000005"/>
        <n v="0.88560000000000005"/>
        <n v="0.86639999999999995"/>
        <n v="0.88970000000000005"/>
        <n v="0.8952"/>
        <n v="0.9083"/>
        <n v="0.77900000000000003"/>
        <n v="0.84760000000000002"/>
        <n v="0.89190000000000003"/>
        <n v="0.92500000000000004"/>
        <n v="0.87519999999999998"/>
        <n v="0.82509999999999994"/>
        <n v="0.86550000000000005"/>
        <n v="0.66769999999999996"/>
        <n v="0.88319999999999999"/>
        <n v="0.89739999999999998"/>
        <n v="0.87470000000000003"/>
        <n v="0.88660000000000005"/>
        <n v="0.87829999999999997"/>
        <n v="0.87219999999999998"/>
        <n v="0.89670000000000005"/>
        <n v="0.9073"/>
        <n v="0.78769999999999996"/>
        <n v="0.88"/>
        <n v="0.87639999999999996"/>
        <n v="0.83360000000000001"/>
        <n v="0.86429999999999996"/>
        <n v="0.8296"/>
        <n v="0.83720000000000006"/>
        <n v="0.87360000000000004"/>
        <n v="0.80700000000000005"/>
        <n v="0.92069999999999996"/>
        <n v="0.87150000000000005"/>
        <n v="0.9143"/>
        <n v="0.85940000000000005"/>
        <n v="0.87119999999999997"/>
        <n v="0.85960000000000003"/>
        <n v="0.80979999999999996"/>
        <n v="0.81289999999999996"/>
        <n v="0.86929999999999996"/>
        <n v="0.86729999999999996"/>
        <n v="0.89170000000000005"/>
        <n v="0.83420000000000005"/>
        <n v="0.91320000000000001"/>
        <n v="0.7359"/>
        <n v="0.86380000000000001"/>
        <n v="0.84530000000000005"/>
        <n v="0.82189999999999996"/>
        <n v="0.87839999999999996"/>
        <n v="0.85699999999999998"/>
        <n v="0.8175"/>
        <n v="0.85040000000000004"/>
        <n v="0.78580000000000005"/>
        <n v="0.84340000000000004"/>
        <n v="0.82550000000000001"/>
        <n v="0.85519999999999996"/>
        <n v="0.84179999999999999"/>
        <n v="0.85819999999999996"/>
        <n v="0.87749999999999995"/>
        <n v="0.88429999999999997"/>
        <n v="0.83879999999999999"/>
        <n v="0.80930000000000002"/>
        <n v="0.73150000000000004"/>
        <n v="0.82679999999999998"/>
        <n v="0.78369999999999995"/>
        <n v="0.80379999999999996"/>
        <n v="0.79300000000000004"/>
        <n v="0.85560000000000003"/>
        <n v="0.76649999999999996"/>
        <n v="0.67120000000000002"/>
        <n v="0.78029999999999999"/>
        <n v="0.86850000000000005"/>
        <n v="0.68369999999999997"/>
        <n v="0.86150000000000004"/>
        <n v="0.84540000000000004"/>
        <n v="0.86799999999999999"/>
        <n v="0.81899999999999995"/>
        <n v="0.8105"/>
        <n v="0.84740000000000004"/>
        <n v="0.78490000000000004"/>
        <n v="0.82989999999999997"/>
        <n v="0.79179999999999995"/>
        <n v="0.84699999999999998"/>
        <n v="0.85109999999999997"/>
        <n v="0.84219999999999995"/>
        <n v="0.81859999999999999"/>
        <n v="0.82569999999999999"/>
        <n v="0.81489999999999996"/>
        <n v="0.65680000000000005"/>
        <n v="0.81540000000000001"/>
        <n v="0.74760000000000004"/>
        <n v="0.61580000000000001"/>
        <n v="0.7964"/>
        <n v="0.74180000000000001"/>
        <n v="0.84660000000000002"/>
        <n v="0.75849999999999995"/>
        <n v="0.75519999999999998"/>
        <n v="0.78239999999999998"/>
        <n v="0.69399999999999995"/>
        <n v="0.72629999999999995"/>
        <n v="0.77969999999999995"/>
        <n v="0.78439999999999999"/>
        <n v="0.62080000000000002"/>
        <n v="0.78359999999999996"/>
        <n v="0.70240000000000002"/>
        <n v="0.77700000000000002"/>
        <n v="0.54649999999999999"/>
        <n v="0.78110000000000002"/>
        <n v="0.75760000000000005"/>
        <n v="0.748"/>
        <n v="0.7369"/>
        <n v="0.83960000000000001"/>
        <n v="0.58440000000000003"/>
        <n v="0.79749999999999999"/>
        <n v="0.76890000000000003"/>
        <n v="0.76060000000000005"/>
        <n v="0.60899999999999999"/>
        <n v="0.67200000000000004"/>
        <n v="0.73919999999999997"/>
        <n v="0.37590000000000001"/>
        <n v="0.5665"/>
        <n v="0.51659999999999995"/>
        <n v="0.4153"/>
        <n v="0.47139999999999999"/>
        <n v="0.43419999999999997"/>
        <n v="0.41120000000000001"/>
      </sharedItems>
    </cacheField>
    <cacheField name="Individual Income" numFmtId="0">
      <sharedItems containsSemiMixedTypes="0" containsString="0" containsNumber="1" containsInteger="1" minValue="14365" maxValue="46558" count="189">
        <n v="14365"/>
        <n v="14938"/>
        <n v="15614"/>
        <n v="15854"/>
        <n v="15921"/>
        <n v="16142"/>
        <n v="16182"/>
        <n v="16572"/>
        <n v="16603"/>
        <n v="16632"/>
        <n v="16727"/>
        <n v="16789"/>
        <n v="16874"/>
        <n v="16877"/>
        <n v="16972"/>
        <n v="16983"/>
        <n v="17118"/>
        <n v="17127"/>
        <n v="17340"/>
        <n v="17370"/>
        <n v="17457"/>
        <n v="17684"/>
        <n v="17719"/>
        <n v="17786"/>
        <n v="17947"/>
        <n v="18131"/>
        <n v="18262"/>
        <n v="18388"/>
        <n v="18416"/>
        <n v="18460"/>
        <n v="18483"/>
        <n v="18484"/>
        <n v="18492"/>
        <n v="18504"/>
        <n v="18511"/>
        <n v="18694"/>
        <n v="18742"/>
        <n v="18786"/>
        <n v="18821"/>
        <n v="18824"/>
        <n v="18843"/>
        <n v="18863"/>
        <n v="18970"/>
        <n v="19083"/>
        <n v="19198"/>
        <n v="19207"/>
        <n v="19267"/>
        <n v="19277"/>
        <n v="19321"/>
        <n v="19414"/>
        <n v="19455"/>
        <n v="19475"/>
        <n v="19546"/>
        <n v="19575"/>
        <n v="19623"/>
        <n v="19672"/>
        <n v="19755"/>
        <n v="19946"/>
        <n v="19963"/>
        <n v="20019"/>
        <n v="20187"/>
        <n v="20252"/>
        <n v="20409"/>
        <n v="20647"/>
        <n v="20784"/>
        <n v="20921"/>
        <n v="20931"/>
        <n v="20985"/>
        <n v="21003"/>
        <n v="21015"/>
        <n v="21031"/>
        <n v="21061"/>
        <n v="21070"/>
        <n v="21078"/>
        <n v="21126"/>
        <n v="21223"/>
        <n v="21237"/>
        <n v="21247"/>
        <n v="21261"/>
        <n v="21337"/>
        <n v="21359"/>
        <n v="21515"/>
        <n v="21565"/>
        <n v="21577"/>
        <n v="21636"/>
        <n v="21639"/>
        <n v="21902"/>
        <n v="22013"/>
        <n v="22071"/>
        <n v="22077"/>
        <n v="22133"/>
        <n v="22234"/>
        <n v="22255"/>
        <n v="22274"/>
        <n v="22333"/>
        <n v="22336"/>
        <n v="22368"/>
        <n v="22371"/>
        <n v="22647"/>
        <n v="22770"/>
        <n v="22829"/>
        <n v="22966"/>
        <n v="23051"/>
        <n v="23149"/>
        <n v="23163"/>
        <n v="23197"/>
        <n v="23212"/>
        <n v="23244"/>
        <n v="23272"/>
        <n v="23512"/>
        <n v="23633"/>
        <n v="23780"/>
        <n v="23958"/>
        <n v="24042"/>
        <n v="24058"/>
        <n v="24138"/>
        <n v="24247"/>
        <n v="24477"/>
        <n v="24478"/>
        <n v="24782"/>
        <n v="24832"/>
        <n v="24958"/>
        <n v="24983"/>
        <n v="25215"/>
        <n v="25372"/>
        <n v="25508"/>
        <n v="25518"/>
        <n v="25520"/>
        <n v="25686"/>
        <n v="25718"/>
        <n v="25872"/>
        <n v="25949"/>
        <n v="26015"/>
        <n v="26218"/>
        <n v="26226"/>
        <n v="26246"/>
        <n v="26312"/>
        <n v="26666"/>
        <n v="26814"/>
        <n v="26856"/>
        <n v="26874"/>
        <n v="26999"/>
        <n v="27017"/>
        <n v="27033"/>
        <n v="27057"/>
        <n v="27066"/>
        <n v="27120"/>
        <n v="27141"/>
        <n v="27213"/>
        <n v="27541"/>
        <n v="27593"/>
        <n v="27612"/>
        <n v="27631"/>
        <n v="27663"/>
        <n v="28209"/>
        <n v="28314"/>
        <n v="28407"/>
        <n v="28528"/>
        <n v="28566"/>
        <n v="28832"/>
        <n v="28926"/>
        <n v="28958"/>
        <n v="29004"/>
        <n v="29204"/>
        <n v="29343"/>
        <n v="29977"/>
        <n v="30012"/>
        <n v="30017"/>
        <n v="30115"/>
        <n v="30136"/>
        <n v="30776"/>
        <n v="31089"/>
        <n v="31128"/>
        <n v="31310"/>
        <n v="31968"/>
        <n v="32277"/>
        <n v="32371"/>
        <n v="32647"/>
        <n v="34890"/>
        <n v="35185"/>
        <n v="35573"/>
        <n v="37172"/>
        <n v="37888"/>
        <n v="39150"/>
        <n v="42081"/>
        <n v="42781"/>
        <n v="43386"/>
        <n v="43522"/>
        <n v="46558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48">
  <r>
    <n v="42101000600"/>
    <x v="0"/>
    <x v="0"/>
    <x v="0"/>
  </r>
  <r>
    <n v="42101004002"/>
    <x v="1"/>
    <x v="1"/>
    <x v="1"/>
  </r>
  <r>
    <n v="42101038900"/>
    <x v="2"/>
    <x v="2"/>
    <x v="2"/>
  </r>
  <r>
    <n v="42101026200"/>
    <x v="3"/>
    <x v="3"/>
    <x v="3"/>
  </r>
  <r>
    <n v="42101029000"/>
    <x v="3"/>
    <x v="4"/>
    <x v="4"/>
  </r>
  <r>
    <n v="42101032500"/>
    <x v="4"/>
    <x v="5"/>
    <x v="5"/>
  </r>
  <r>
    <n v="42101032300"/>
    <x v="4"/>
    <x v="6"/>
    <x v="6"/>
  </r>
  <r>
    <n v="42101005500"/>
    <x v="5"/>
    <x v="7"/>
    <x v="7"/>
  </r>
  <r>
    <n v="42101031200"/>
    <x v="6"/>
    <x v="8"/>
    <x v="8"/>
  </r>
  <r>
    <n v="42101018001"/>
    <x v="3"/>
    <x v="9"/>
    <x v="9"/>
  </r>
  <r>
    <n v="42101004201"/>
    <x v="7"/>
    <x v="10"/>
    <x v="10"/>
  </r>
  <r>
    <n v="42101005000"/>
    <x v="8"/>
    <x v="11"/>
    <x v="11"/>
  </r>
  <r>
    <n v="42101019000"/>
    <x v="3"/>
    <x v="12"/>
    <x v="12"/>
  </r>
  <r>
    <n v="42101029100"/>
    <x v="9"/>
    <x v="13"/>
    <x v="13"/>
  </r>
  <r>
    <n v="42101009802"/>
    <x v="10"/>
    <x v="14"/>
    <x v="14"/>
  </r>
  <r>
    <n v="42101014300"/>
    <x v="11"/>
    <x v="15"/>
    <x v="15"/>
  </r>
  <r>
    <n v="42101030100"/>
    <x v="12"/>
    <x v="16"/>
    <x v="16"/>
  </r>
  <r>
    <n v="42101031800"/>
    <x v="6"/>
    <x v="17"/>
    <x v="17"/>
  </r>
  <r>
    <n v="42101027300"/>
    <x v="3"/>
    <x v="18"/>
    <x v="18"/>
  </r>
  <r>
    <n v="42101002300"/>
    <x v="13"/>
    <x v="19"/>
    <x v="19"/>
  </r>
  <r>
    <n v="42101000901"/>
    <x v="0"/>
    <x v="20"/>
    <x v="20"/>
  </r>
  <r>
    <n v="42101025400"/>
    <x v="14"/>
    <x v="21"/>
    <x v="21"/>
  </r>
  <r>
    <n v="42101027401"/>
    <x v="3"/>
    <x v="22"/>
    <x v="22"/>
  </r>
  <r>
    <n v="42101031900"/>
    <x v="4"/>
    <x v="23"/>
    <x v="23"/>
  </r>
  <r>
    <n v="42101030900"/>
    <x v="6"/>
    <x v="24"/>
    <x v="24"/>
  </r>
  <r>
    <n v="42101005400"/>
    <x v="5"/>
    <x v="25"/>
    <x v="25"/>
  </r>
  <r>
    <n v="42101000100"/>
    <x v="0"/>
    <x v="26"/>
    <x v="26"/>
  </r>
  <r>
    <n v="42101003001"/>
    <x v="15"/>
    <x v="27"/>
    <x v="27"/>
  </r>
  <r>
    <n v="42101006000"/>
    <x v="16"/>
    <x v="28"/>
    <x v="28"/>
  </r>
  <r>
    <n v="42101021400"/>
    <x v="17"/>
    <x v="29"/>
    <x v="29"/>
  </r>
  <r>
    <n v="42101031300"/>
    <x v="6"/>
    <x v="30"/>
    <x v="30"/>
  </r>
  <r>
    <n v="42101027100"/>
    <x v="3"/>
    <x v="31"/>
    <x v="31"/>
  </r>
  <r>
    <n v="42101032900"/>
    <x v="18"/>
    <x v="32"/>
    <x v="32"/>
  </r>
  <r>
    <n v="42101026100"/>
    <x v="3"/>
    <x v="33"/>
    <x v="33"/>
  </r>
  <r>
    <n v="42101030501"/>
    <x v="9"/>
    <x v="34"/>
    <x v="34"/>
  </r>
  <r>
    <n v="42101012204"/>
    <x v="19"/>
    <x v="35"/>
    <x v="35"/>
  </r>
  <r>
    <n v="42101037200"/>
    <x v="7"/>
    <x v="36"/>
    <x v="36"/>
  </r>
  <r>
    <n v="42101004001"/>
    <x v="1"/>
    <x v="37"/>
    <x v="37"/>
  </r>
  <r>
    <n v="42101035100"/>
    <x v="4"/>
    <x v="38"/>
    <x v="38"/>
  </r>
  <r>
    <n v="42101031401"/>
    <x v="6"/>
    <x v="39"/>
    <x v="39"/>
  </r>
  <r>
    <n v="42101033000"/>
    <x v="18"/>
    <x v="40"/>
    <x v="40"/>
  </r>
  <r>
    <n v="42101030200"/>
    <x v="12"/>
    <x v="41"/>
    <x v="41"/>
  </r>
  <r>
    <n v="42101031101"/>
    <x v="6"/>
    <x v="42"/>
    <x v="42"/>
  </r>
  <r>
    <n v="42101012100"/>
    <x v="20"/>
    <x v="43"/>
    <x v="43"/>
  </r>
  <r>
    <n v="42101013602"/>
    <x v="21"/>
    <x v="44"/>
    <x v="44"/>
  </r>
  <r>
    <n v="42101021000"/>
    <x v="17"/>
    <x v="45"/>
    <x v="45"/>
  </r>
  <r>
    <n v="42101006100"/>
    <x v="22"/>
    <x v="46"/>
    <x v="46"/>
  </r>
  <r>
    <n v="42101031700"/>
    <x v="23"/>
    <x v="47"/>
    <x v="47"/>
  </r>
  <r>
    <n v="42101009000"/>
    <x v="24"/>
    <x v="48"/>
    <x v="48"/>
  </r>
  <r>
    <n v="42101031102"/>
    <x v="6"/>
    <x v="49"/>
    <x v="49"/>
  </r>
  <r>
    <n v="42101030502"/>
    <x v="9"/>
    <x v="50"/>
    <x v="50"/>
  </r>
  <r>
    <n v="42101031402"/>
    <x v="6"/>
    <x v="28"/>
    <x v="51"/>
  </r>
  <r>
    <n v="42101001700"/>
    <x v="25"/>
    <x v="51"/>
    <x v="52"/>
  </r>
  <r>
    <n v="42101003902"/>
    <x v="7"/>
    <x v="52"/>
    <x v="53"/>
  </r>
  <r>
    <n v="42101025500"/>
    <x v="2"/>
    <x v="53"/>
    <x v="54"/>
  </r>
  <r>
    <n v="42101034900"/>
    <x v="18"/>
    <x v="54"/>
    <x v="55"/>
  </r>
  <r>
    <n v="42101002702"/>
    <x v="26"/>
    <x v="55"/>
    <x v="56"/>
  </r>
  <r>
    <n v="42101018400"/>
    <x v="3"/>
    <x v="56"/>
    <x v="57"/>
  </r>
  <r>
    <n v="42101020900"/>
    <x v="2"/>
    <x v="9"/>
    <x v="58"/>
  </r>
  <r>
    <n v="42101002802"/>
    <x v="27"/>
    <x v="57"/>
    <x v="59"/>
  </r>
  <r>
    <n v="42101002900"/>
    <x v="13"/>
    <x v="58"/>
    <x v="60"/>
  </r>
  <r>
    <n v="42101027000"/>
    <x v="3"/>
    <x v="59"/>
    <x v="61"/>
  </r>
  <r>
    <n v="42101018300"/>
    <x v="28"/>
    <x v="60"/>
    <x v="62"/>
  </r>
  <r>
    <n v="42101033400"/>
    <x v="4"/>
    <x v="61"/>
    <x v="63"/>
  </r>
  <r>
    <n v="42101034502"/>
    <x v="29"/>
    <x v="62"/>
    <x v="64"/>
  </r>
  <r>
    <n v="42101001101"/>
    <x v="0"/>
    <x v="63"/>
    <x v="65"/>
  </r>
  <r>
    <n v="42101021300"/>
    <x v="17"/>
    <x v="64"/>
    <x v="66"/>
  </r>
  <r>
    <n v="42101025600"/>
    <x v="14"/>
    <x v="65"/>
    <x v="67"/>
  </r>
  <r>
    <n v="42101012500"/>
    <x v="3"/>
    <x v="66"/>
    <x v="68"/>
  </r>
  <r>
    <n v="42101025700"/>
    <x v="30"/>
    <x v="67"/>
    <x v="69"/>
  </r>
  <r>
    <n v="42101018002"/>
    <x v="3"/>
    <x v="68"/>
    <x v="70"/>
  </r>
  <r>
    <n v="42101030600"/>
    <x v="9"/>
    <x v="69"/>
    <x v="71"/>
  </r>
  <r>
    <n v="42101034802"/>
    <x v="4"/>
    <x v="70"/>
    <x v="72"/>
  </r>
  <r>
    <n v="42101033800"/>
    <x v="31"/>
    <x v="71"/>
    <x v="73"/>
  </r>
  <r>
    <n v="42101032000"/>
    <x v="4"/>
    <x v="69"/>
    <x v="74"/>
  </r>
  <r>
    <n v="42101020700"/>
    <x v="32"/>
    <x v="72"/>
    <x v="75"/>
  </r>
  <r>
    <n v="42101037500"/>
    <x v="10"/>
    <x v="73"/>
    <x v="76"/>
  </r>
  <r>
    <n v="42101020800"/>
    <x v="32"/>
    <x v="74"/>
    <x v="77"/>
  </r>
  <r>
    <n v="42101021500"/>
    <x v="17"/>
    <x v="2"/>
    <x v="78"/>
  </r>
  <r>
    <n v="42101021900"/>
    <x v="33"/>
    <x v="75"/>
    <x v="79"/>
  </r>
  <r>
    <n v="42101037300"/>
    <x v="34"/>
    <x v="76"/>
    <x v="80"/>
  </r>
  <r>
    <n v="42101037900"/>
    <x v="3"/>
    <x v="77"/>
    <x v="81"/>
  </r>
  <r>
    <n v="42101000700"/>
    <x v="0"/>
    <x v="78"/>
    <x v="82"/>
  </r>
  <r>
    <n v="42101025800"/>
    <x v="3"/>
    <x v="79"/>
    <x v="83"/>
  </r>
  <r>
    <n v="42101021600"/>
    <x v="2"/>
    <x v="80"/>
    <x v="84"/>
  </r>
  <r>
    <n v="42101031000"/>
    <x v="6"/>
    <x v="81"/>
    <x v="85"/>
  </r>
  <r>
    <n v="42101033900"/>
    <x v="31"/>
    <x v="82"/>
    <x v="86"/>
  </r>
  <r>
    <n v="42101000200"/>
    <x v="0"/>
    <x v="83"/>
    <x v="87"/>
  </r>
  <r>
    <n v="42101034000"/>
    <x v="31"/>
    <x v="84"/>
    <x v="88"/>
  </r>
  <r>
    <n v="42101021100"/>
    <x v="2"/>
    <x v="85"/>
    <x v="89"/>
  </r>
  <r>
    <n v="42101033701"/>
    <x v="4"/>
    <x v="86"/>
    <x v="90"/>
  </r>
  <r>
    <n v="42101035301"/>
    <x v="35"/>
    <x v="87"/>
    <x v="91"/>
  </r>
  <r>
    <n v="42101033102"/>
    <x v="18"/>
    <x v="88"/>
    <x v="92"/>
  </r>
  <r>
    <n v="42101032600"/>
    <x v="4"/>
    <x v="89"/>
    <x v="93"/>
  </r>
  <r>
    <n v="42101000902"/>
    <x v="0"/>
    <x v="90"/>
    <x v="94"/>
  </r>
  <r>
    <n v="42101026900"/>
    <x v="3"/>
    <x v="91"/>
    <x v="95"/>
  </r>
  <r>
    <n v="42101030700"/>
    <x v="9"/>
    <x v="92"/>
    <x v="96"/>
  </r>
  <r>
    <n v="42101023500"/>
    <x v="36"/>
    <x v="93"/>
    <x v="97"/>
  </r>
  <r>
    <n v="42101031501"/>
    <x v="23"/>
    <x v="94"/>
    <x v="98"/>
  </r>
  <r>
    <n v="42101033500"/>
    <x v="4"/>
    <x v="95"/>
    <x v="99"/>
  </r>
  <r>
    <n v="42101000801"/>
    <x v="0"/>
    <x v="96"/>
    <x v="100"/>
  </r>
  <r>
    <n v="42101034801"/>
    <x v="4"/>
    <x v="97"/>
    <x v="101"/>
  </r>
  <r>
    <n v="42101000300"/>
    <x v="0"/>
    <x v="98"/>
    <x v="102"/>
  </r>
  <r>
    <n v="42101003800"/>
    <x v="37"/>
    <x v="99"/>
    <x v="103"/>
  </r>
  <r>
    <n v="42101033600"/>
    <x v="4"/>
    <x v="100"/>
    <x v="104"/>
  </r>
  <r>
    <n v="42101038700"/>
    <x v="2"/>
    <x v="101"/>
    <x v="105"/>
  </r>
  <r>
    <n v="42101038800"/>
    <x v="36"/>
    <x v="102"/>
    <x v="106"/>
  </r>
  <r>
    <n v="42101033300"/>
    <x v="4"/>
    <x v="103"/>
    <x v="107"/>
  </r>
  <r>
    <n v="42101031600"/>
    <x v="4"/>
    <x v="104"/>
    <x v="108"/>
  </r>
  <r>
    <n v="42101034501"/>
    <x v="4"/>
    <x v="105"/>
    <x v="109"/>
  </r>
  <r>
    <n v="42101035302"/>
    <x v="35"/>
    <x v="106"/>
    <x v="110"/>
  </r>
  <r>
    <n v="42101033101"/>
    <x v="18"/>
    <x v="107"/>
    <x v="111"/>
  </r>
  <r>
    <n v="42101034803"/>
    <x v="4"/>
    <x v="108"/>
    <x v="112"/>
  </r>
  <r>
    <n v="42101021200"/>
    <x v="2"/>
    <x v="109"/>
    <x v="113"/>
  </r>
  <r>
    <n v="42101033702"/>
    <x v="4"/>
    <x v="110"/>
    <x v="114"/>
  </r>
  <r>
    <n v="42101000402"/>
    <x v="0"/>
    <x v="111"/>
    <x v="115"/>
  </r>
  <r>
    <n v="42101021700"/>
    <x v="2"/>
    <x v="112"/>
    <x v="116"/>
  </r>
  <r>
    <n v="42101001600"/>
    <x v="25"/>
    <x v="113"/>
    <x v="117"/>
  </r>
  <r>
    <n v="42101000804"/>
    <x v="0"/>
    <x v="114"/>
    <x v="118"/>
  </r>
  <r>
    <n v="42101030800"/>
    <x v="6"/>
    <x v="115"/>
    <x v="119"/>
  </r>
  <r>
    <n v="42101031502"/>
    <x v="23"/>
    <x v="116"/>
    <x v="120"/>
  </r>
  <r>
    <n v="42101034200"/>
    <x v="31"/>
    <x v="117"/>
    <x v="121"/>
  </r>
  <r>
    <n v="42101023600"/>
    <x v="36"/>
    <x v="118"/>
    <x v="122"/>
  </r>
  <r>
    <n v="42101034100"/>
    <x v="31"/>
    <x v="119"/>
    <x v="123"/>
  </r>
  <r>
    <n v="42101980200"/>
    <x v="4"/>
    <x v="120"/>
    <x v="124"/>
  </r>
  <r>
    <n v="42101034701"/>
    <x v="4"/>
    <x v="121"/>
    <x v="125"/>
  </r>
  <r>
    <n v="42101036900"/>
    <x v="38"/>
    <x v="122"/>
    <x v="126"/>
  </r>
  <r>
    <n v="42101035200"/>
    <x v="4"/>
    <x v="123"/>
    <x v="127"/>
  </r>
  <r>
    <n v="42101033200"/>
    <x v="23"/>
    <x v="124"/>
    <x v="128"/>
  </r>
  <r>
    <n v="42101022000"/>
    <x v="2"/>
    <x v="125"/>
    <x v="129"/>
  </r>
  <r>
    <n v="42101013402"/>
    <x v="39"/>
    <x v="126"/>
    <x v="130"/>
  </r>
  <r>
    <n v="42101021800"/>
    <x v="33"/>
    <x v="15"/>
    <x v="131"/>
  </r>
  <r>
    <n v="42101001202"/>
    <x v="0"/>
    <x v="127"/>
    <x v="132"/>
  </r>
  <r>
    <n v="42101001201"/>
    <x v="0"/>
    <x v="128"/>
    <x v="133"/>
  </r>
  <r>
    <n v="42101038400"/>
    <x v="2"/>
    <x v="129"/>
    <x v="134"/>
  </r>
  <r>
    <n v="42101013601"/>
    <x v="39"/>
    <x v="130"/>
    <x v="135"/>
  </r>
  <r>
    <n v="42101034702"/>
    <x v="4"/>
    <x v="131"/>
    <x v="136"/>
  </r>
  <r>
    <n v="42101023100"/>
    <x v="30"/>
    <x v="132"/>
    <x v="137"/>
  </r>
  <r>
    <n v="42101036600"/>
    <x v="0"/>
    <x v="133"/>
    <x v="138"/>
  </r>
  <r>
    <n v="42101001102"/>
    <x v="0"/>
    <x v="134"/>
    <x v="139"/>
  </r>
  <r>
    <n v="42101001001"/>
    <x v="0"/>
    <x v="11"/>
    <x v="140"/>
  </r>
  <r>
    <n v="42101001002"/>
    <x v="0"/>
    <x v="135"/>
    <x v="141"/>
  </r>
  <r>
    <n v="42101020600"/>
    <x v="32"/>
    <x v="136"/>
    <x v="142"/>
  </r>
  <r>
    <n v="42101008801"/>
    <x v="40"/>
    <x v="137"/>
    <x v="143"/>
  </r>
  <r>
    <n v="42101013401"/>
    <x v="39"/>
    <x v="138"/>
    <x v="144"/>
  </r>
  <r>
    <n v="42101000803"/>
    <x v="0"/>
    <x v="139"/>
    <x v="145"/>
  </r>
  <r>
    <n v="42101038600"/>
    <x v="30"/>
    <x v="140"/>
    <x v="146"/>
  </r>
  <r>
    <n v="42101038500"/>
    <x v="30"/>
    <x v="141"/>
    <x v="147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90">
  <r>
    <n v="24510180100"/>
    <x v="0"/>
    <x v="0"/>
    <x v="0"/>
  </r>
  <r>
    <n v="24510200500"/>
    <x v="1"/>
    <x v="1"/>
    <x v="1"/>
  </r>
  <r>
    <n v="24510200300"/>
    <x v="2"/>
    <x v="2"/>
    <x v="2"/>
  </r>
  <r>
    <n v="24510080800"/>
    <x v="3"/>
    <x v="3"/>
    <x v="3"/>
  </r>
  <r>
    <n v="24510130100"/>
    <x v="4"/>
    <x v="4"/>
    <x v="4"/>
  </r>
  <r>
    <n v="24510190300"/>
    <x v="5"/>
    <x v="5"/>
    <x v="5"/>
  </r>
  <r>
    <n v="24510210100"/>
    <x v="6"/>
    <x v="6"/>
    <x v="6"/>
  </r>
  <r>
    <n v="24510070300"/>
    <x v="7"/>
    <x v="7"/>
    <x v="7"/>
  </r>
  <r>
    <n v="24510200400"/>
    <x v="8"/>
    <x v="8"/>
    <x v="8"/>
  </r>
  <r>
    <n v="24510190200"/>
    <x v="9"/>
    <x v="9"/>
    <x v="9"/>
  </r>
  <r>
    <n v="24510060100"/>
    <x v="10"/>
    <x v="10"/>
    <x v="10"/>
  </r>
  <r>
    <n v="24510250204"/>
    <x v="11"/>
    <x v="11"/>
    <x v="11"/>
  </r>
  <r>
    <n v="24510140300"/>
    <x v="12"/>
    <x v="12"/>
    <x v="12"/>
  </r>
  <r>
    <n v="24510040200"/>
    <x v="13"/>
    <x v="13"/>
    <x v="13"/>
  </r>
  <r>
    <n v="24510190100"/>
    <x v="14"/>
    <x v="14"/>
    <x v="14"/>
  </r>
  <r>
    <n v="24510150100"/>
    <x v="15"/>
    <x v="15"/>
    <x v="15"/>
  </r>
  <r>
    <n v="24510260303"/>
    <x v="16"/>
    <x v="16"/>
    <x v="16"/>
  </r>
  <r>
    <n v="24510170300"/>
    <x v="17"/>
    <x v="17"/>
    <x v="17"/>
  </r>
  <r>
    <n v="24510260604"/>
    <x v="18"/>
    <x v="18"/>
    <x v="18"/>
  </r>
  <r>
    <n v="24510250301"/>
    <x v="19"/>
    <x v="19"/>
    <x v="19"/>
  </r>
  <r>
    <n v="24510250600"/>
    <x v="20"/>
    <x v="20"/>
    <x v="20"/>
  </r>
  <r>
    <n v="24510100100"/>
    <x v="21"/>
    <x v="21"/>
    <x v="21"/>
  </r>
  <r>
    <n v="24510280500"/>
    <x v="22"/>
    <x v="22"/>
    <x v="22"/>
  </r>
  <r>
    <n v="24510080700"/>
    <x v="3"/>
    <x v="23"/>
    <x v="23"/>
  </r>
  <r>
    <n v="24510170200"/>
    <x v="23"/>
    <x v="24"/>
    <x v="24"/>
  </r>
  <r>
    <n v="24510080200"/>
    <x v="3"/>
    <x v="25"/>
    <x v="25"/>
  </r>
  <r>
    <n v="24510090900"/>
    <x v="24"/>
    <x v="26"/>
    <x v="26"/>
  </r>
  <r>
    <n v="24510230300"/>
    <x v="25"/>
    <x v="27"/>
    <x v="27"/>
  </r>
  <r>
    <n v="24510250500"/>
    <x v="26"/>
    <x v="28"/>
    <x v="28"/>
  </r>
  <r>
    <n v="24510080301"/>
    <x v="27"/>
    <x v="27"/>
    <x v="29"/>
  </r>
  <r>
    <n v="24510160100"/>
    <x v="28"/>
    <x v="29"/>
    <x v="30"/>
  </r>
  <r>
    <n v="24510090800"/>
    <x v="29"/>
    <x v="30"/>
    <x v="31"/>
  </r>
  <r>
    <n v="24510200200"/>
    <x v="30"/>
    <x v="31"/>
    <x v="32"/>
  </r>
  <r>
    <n v="24510140200"/>
    <x v="17"/>
    <x v="32"/>
    <x v="33"/>
  </r>
  <r>
    <n v="24510070200"/>
    <x v="31"/>
    <x v="33"/>
    <x v="34"/>
  </r>
  <r>
    <n v="24510070400"/>
    <x v="32"/>
    <x v="34"/>
    <x v="35"/>
  </r>
  <r>
    <n v="24510030100"/>
    <x v="33"/>
    <x v="35"/>
    <x v="36"/>
  </r>
  <r>
    <n v="24510250402"/>
    <x v="20"/>
    <x v="36"/>
    <x v="37"/>
  </r>
  <r>
    <n v="24510150400"/>
    <x v="34"/>
    <x v="37"/>
    <x v="38"/>
  </r>
  <r>
    <n v="24510120500"/>
    <x v="35"/>
    <x v="38"/>
    <x v="39"/>
  </r>
  <r>
    <n v="24510210200"/>
    <x v="6"/>
    <x v="39"/>
    <x v="40"/>
  </r>
  <r>
    <n v="24510150600"/>
    <x v="36"/>
    <x v="40"/>
    <x v="41"/>
  </r>
  <r>
    <n v="24510160300"/>
    <x v="15"/>
    <x v="41"/>
    <x v="42"/>
  </r>
  <r>
    <n v="24510180300"/>
    <x v="37"/>
    <x v="42"/>
    <x v="43"/>
  </r>
  <r>
    <n v="24510150200"/>
    <x v="15"/>
    <x v="43"/>
    <x v="44"/>
  </r>
  <r>
    <n v="24510160200"/>
    <x v="15"/>
    <x v="44"/>
    <x v="45"/>
  </r>
  <r>
    <n v="24510260404"/>
    <x v="38"/>
    <x v="45"/>
    <x v="46"/>
  </r>
  <r>
    <n v="24510080400"/>
    <x v="3"/>
    <x v="46"/>
    <x v="47"/>
  </r>
  <r>
    <n v="24510130300"/>
    <x v="39"/>
    <x v="47"/>
    <x v="48"/>
  </r>
  <r>
    <n v="24510120600"/>
    <x v="40"/>
    <x v="48"/>
    <x v="49"/>
  </r>
  <r>
    <n v="24510271802"/>
    <x v="41"/>
    <x v="49"/>
    <x v="50"/>
  </r>
  <r>
    <n v="24510120700"/>
    <x v="42"/>
    <x v="50"/>
    <x v="51"/>
  </r>
  <r>
    <n v="24510160700"/>
    <x v="43"/>
    <x v="51"/>
    <x v="52"/>
  </r>
  <r>
    <n v="24510160400"/>
    <x v="44"/>
    <x v="52"/>
    <x v="53"/>
  </r>
  <r>
    <n v="24510110100"/>
    <x v="13"/>
    <x v="53"/>
    <x v="54"/>
  </r>
  <r>
    <n v="24510060300"/>
    <x v="45"/>
    <x v="17"/>
    <x v="55"/>
  </r>
  <r>
    <n v="24510150300"/>
    <x v="46"/>
    <x v="54"/>
    <x v="56"/>
  </r>
  <r>
    <n v="24510080600"/>
    <x v="3"/>
    <x v="55"/>
    <x v="57"/>
  </r>
  <r>
    <n v="24510151300"/>
    <x v="47"/>
    <x v="56"/>
    <x v="58"/>
  </r>
  <r>
    <n v="24510250203"/>
    <x v="11"/>
    <x v="57"/>
    <x v="59"/>
  </r>
  <r>
    <n v="24510130200"/>
    <x v="4"/>
    <x v="58"/>
    <x v="60"/>
  </r>
  <r>
    <n v="24510261000"/>
    <x v="10"/>
    <x v="59"/>
    <x v="61"/>
  </r>
  <r>
    <n v="24510090600"/>
    <x v="48"/>
    <x v="60"/>
    <x v="62"/>
  </r>
  <r>
    <n v="24510120300"/>
    <x v="49"/>
    <x v="61"/>
    <x v="63"/>
  </r>
  <r>
    <n v="24510130400"/>
    <x v="50"/>
    <x v="62"/>
    <x v="64"/>
  </r>
  <r>
    <n v="24510080302"/>
    <x v="27"/>
    <x v="63"/>
    <x v="65"/>
  </r>
  <r>
    <n v="24510080500"/>
    <x v="51"/>
    <x v="64"/>
    <x v="66"/>
  </r>
  <r>
    <n v="24510240300"/>
    <x v="52"/>
    <x v="65"/>
    <x v="67"/>
  </r>
  <r>
    <n v="24510270701"/>
    <x v="53"/>
    <x v="66"/>
    <x v="68"/>
  </r>
  <r>
    <n v="24510200702"/>
    <x v="54"/>
    <x v="67"/>
    <x v="69"/>
  </r>
  <r>
    <n v="24510120400"/>
    <x v="55"/>
    <x v="68"/>
    <x v="70"/>
  </r>
  <r>
    <n v="24510271600"/>
    <x v="56"/>
    <x v="69"/>
    <x v="71"/>
  </r>
  <r>
    <n v="24510260401"/>
    <x v="57"/>
    <x v="70"/>
    <x v="72"/>
  </r>
  <r>
    <n v="24510250205"/>
    <x v="58"/>
    <x v="71"/>
    <x v="73"/>
  </r>
  <r>
    <n v="24510110200"/>
    <x v="13"/>
    <x v="72"/>
    <x v="74"/>
  </r>
  <r>
    <n v="24510160802"/>
    <x v="59"/>
    <x v="73"/>
    <x v="75"/>
  </r>
  <r>
    <n v="24510090700"/>
    <x v="48"/>
    <x v="74"/>
    <x v="76"/>
  </r>
  <r>
    <n v="24510090500"/>
    <x v="60"/>
    <x v="75"/>
    <x v="77"/>
  </r>
  <r>
    <n v="24510151200"/>
    <x v="61"/>
    <x v="76"/>
    <x v="78"/>
  </r>
  <r>
    <n v="24510250207"/>
    <x v="11"/>
    <x v="77"/>
    <x v="79"/>
  </r>
  <r>
    <n v="24510271801"/>
    <x v="62"/>
    <x v="78"/>
    <x v="80"/>
  </r>
  <r>
    <n v="24510080102"/>
    <x v="63"/>
    <x v="79"/>
    <x v="81"/>
  </r>
  <r>
    <n v="24510160600"/>
    <x v="64"/>
    <x v="80"/>
    <x v="82"/>
  </r>
  <r>
    <n v="24510020200"/>
    <x v="65"/>
    <x v="81"/>
    <x v="83"/>
  </r>
  <r>
    <n v="24510260301"/>
    <x v="63"/>
    <x v="82"/>
    <x v="84"/>
  </r>
  <r>
    <n v="24510160500"/>
    <x v="66"/>
    <x v="83"/>
    <x v="85"/>
  </r>
  <r>
    <n v="24510090400"/>
    <x v="60"/>
    <x v="84"/>
    <x v="86"/>
  </r>
  <r>
    <n v="24510151000"/>
    <x v="67"/>
    <x v="85"/>
    <x v="87"/>
  </r>
  <r>
    <n v="24510260800"/>
    <x v="38"/>
    <x v="86"/>
    <x v="88"/>
  </r>
  <r>
    <n v="24510280101"/>
    <x v="68"/>
    <x v="87"/>
    <x v="89"/>
  </r>
  <r>
    <n v="24510260403"/>
    <x v="69"/>
    <x v="88"/>
    <x v="90"/>
  </r>
  <r>
    <n v="24510250401"/>
    <x v="20"/>
    <x v="89"/>
    <x v="91"/>
  </r>
  <r>
    <n v="24510180200"/>
    <x v="0"/>
    <x v="90"/>
    <x v="92"/>
  </r>
  <r>
    <n v="24510271700"/>
    <x v="47"/>
    <x v="91"/>
    <x v="93"/>
  </r>
  <r>
    <n v="24510200100"/>
    <x v="30"/>
    <x v="92"/>
    <x v="94"/>
  </r>
  <r>
    <n v="24510160801"/>
    <x v="59"/>
    <x v="93"/>
    <x v="95"/>
  </r>
  <r>
    <n v="24510271002"/>
    <x v="70"/>
    <x v="94"/>
    <x v="96"/>
  </r>
  <r>
    <n v="24510260402"/>
    <x v="71"/>
    <x v="95"/>
    <x v="97"/>
  </r>
  <r>
    <n v="24510020100"/>
    <x v="65"/>
    <x v="96"/>
    <x v="98"/>
  </r>
  <r>
    <n v="24510130804"/>
    <x v="72"/>
    <x v="97"/>
    <x v="99"/>
  </r>
  <r>
    <n v="24510150500"/>
    <x v="73"/>
    <x v="98"/>
    <x v="100"/>
  </r>
  <r>
    <n v="24510260203"/>
    <x v="71"/>
    <x v="99"/>
    <x v="101"/>
  </r>
  <r>
    <n v="24510200701"/>
    <x v="74"/>
    <x v="100"/>
    <x v="102"/>
  </r>
  <r>
    <n v="24510280102"/>
    <x v="75"/>
    <x v="101"/>
    <x v="103"/>
  </r>
  <r>
    <n v="24510170100"/>
    <x v="13"/>
    <x v="102"/>
    <x v="104"/>
  </r>
  <r>
    <n v="24510030200"/>
    <x v="76"/>
    <x v="103"/>
    <x v="104"/>
  </r>
  <r>
    <n v="24510260202"/>
    <x v="77"/>
    <x v="104"/>
    <x v="105"/>
  </r>
  <r>
    <n v="24510090100"/>
    <x v="78"/>
    <x v="69"/>
    <x v="106"/>
  </r>
  <r>
    <n v="24510150701"/>
    <x v="79"/>
    <x v="105"/>
    <x v="107"/>
  </r>
  <r>
    <n v="24510250303"/>
    <x v="80"/>
    <x v="106"/>
    <x v="108"/>
  </r>
  <r>
    <n v="24510150900"/>
    <x v="81"/>
    <x v="107"/>
    <x v="109"/>
  </r>
  <r>
    <n v="24510200800"/>
    <x v="82"/>
    <x v="108"/>
    <x v="110"/>
  </r>
  <r>
    <n v="24510260201"/>
    <x v="71"/>
    <x v="109"/>
    <x v="111"/>
  </r>
  <r>
    <n v="24510250102"/>
    <x v="83"/>
    <x v="110"/>
    <x v="112"/>
  </r>
  <r>
    <n v="24510260700"/>
    <x v="84"/>
    <x v="111"/>
    <x v="113"/>
  </r>
  <r>
    <n v="24510280302"/>
    <x v="85"/>
    <x v="112"/>
    <x v="114"/>
  </r>
  <r>
    <n v="24510230200"/>
    <x v="25"/>
    <x v="113"/>
    <x v="115"/>
  </r>
  <r>
    <n v="24510010200"/>
    <x v="10"/>
    <x v="114"/>
    <x v="116"/>
  </r>
  <r>
    <n v="24510280301"/>
    <x v="75"/>
    <x v="115"/>
    <x v="117"/>
  </r>
  <r>
    <n v="24510150800"/>
    <x v="86"/>
    <x v="116"/>
    <x v="118"/>
  </r>
  <r>
    <n v="24510280404"/>
    <x v="82"/>
    <x v="117"/>
    <x v="119"/>
  </r>
  <r>
    <n v="24510280402"/>
    <x v="87"/>
    <x v="118"/>
    <x v="120"/>
  </r>
  <r>
    <n v="24510090300"/>
    <x v="78"/>
    <x v="119"/>
    <x v="121"/>
  </r>
  <r>
    <n v="24510010300"/>
    <x v="88"/>
    <x v="120"/>
    <x v="122"/>
  </r>
  <r>
    <n v="24005403202"/>
    <x v="75"/>
    <x v="121"/>
    <x v="123"/>
  </r>
  <r>
    <n v="24510270805"/>
    <x v="89"/>
    <x v="122"/>
    <x v="124"/>
  </r>
  <r>
    <n v="24510130806"/>
    <x v="90"/>
    <x v="123"/>
    <x v="125"/>
  </r>
  <r>
    <n v="24510250206"/>
    <x v="80"/>
    <x v="124"/>
    <x v="126"/>
  </r>
  <r>
    <n v="24510260605"/>
    <x v="91"/>
    <x v="125"/>
    <x v="127"/>
  </r>
  <r>
    <n v="24510260302"/>
    <x v="63"/>
    <x v="126"/>
    <x v="128"/>
  </r>
  <r>
    <n v="24510130600"/>
    <x v="72"/>
    <x v="127"/>
    <x v="129"/>
  </r>
  <r>
    <n v="24510272007"/>
    <x v="92"/>
    <x v="128"/>
    <x v="130"/>
  </r>
  <r>
    <n v="24510280200"/>
    <x v="75"/>
    <x v="87"/>
    <x v="131"/>
  </r>
  <r>
    <n v="24510271900"/>
    <x v="93"/>
    <x v="129"/>
    <x v="132"/>
  </r>
  <r>
    <n v="24510250101"/>
    <x v="94"/>
    <x v="130"/>
    <x v="133"/>
  </r>
  <r>
    <n v="24510010500"/>
    <x v="65"/>
    <x v="131"/>
    <x v="134"/>
  </r>
  <r>
    <n v="24510270901"/>
    <x v="95"/>
    <x v="132"/>
    <x v="135"/>
  </r>
  <r>
    <n v="24510151100"/>
    <x v="96"/>
    <x v="133"/>
    <x v="136"/>
  </r>
  <r>
    <n v="24510150702"/>
    <x v="97"/>
    <x v="134"/>
    <x v="137"/>
  </r>
  <r>
    <n v="24510260501"/>
    <x v="98"/>
    <x v="135"/>
    <x v="138"/>
  </r>
  <r>
    <n v="24510270803"/>
    <x v="99"/>
    <x v="136"/>
    <x v="139"/>
  </r>
  <r>
    <n v="24510270801"/>
    <x v="100"/>
    <x v="137"/>
    <x v="140"/>
  </r>
  <r>
    <n v="24005401302"/>
    <x v="75"/>
    <x v="138"/>
    <x v="141"/>
  </r>
  <r>
    <n v="24510270902"/>
    <x v="101"/>
    <x v="139"/>
    <x v="142"/>
  </r>
  <r>
    <n v="24510270401"/>
    <x v="102"/>
    <x v="140"/>
    <x v="143"/>
  </r>
  <r>
    <n v="24510240400"/>
    <x v="103"/>
    <x v="141"/>
    <x v="144"/>
  </r>
  <r>
    <n v="24510260102"/>
    <x v="71"/>
    <x v="142"/>
    <x v="145"/>
  </r>
  <r>
    <n v="24510080101"/>
    <x v="63"/>
    <x v="143"/>
    <x v="146"/>
  </r>
  <r>
    <n v="24510270702"/>
    <x v="53"/>
    <x v="144"/>
    <x v="147"/>
  </r>
  <r>
    <n v="24510260101"/>
    <x v="104"/>
    <x v="145"/>
    <x v="148"/>
  </r>
  <r>
    <n v="24510261100"/>
    <x v="88"/>
    <x v="146"/>
    <x v="149"/>
  </r>
  <r>
    <n v="24510040100"/>
    <x v="13"/>
    <x v="147"/>
    <x v="150"/>
  </r>
  <r>
    <n v="24510270903"/>
    <x v="105"/>
    <x v="148"/>
    <x v="151"/>
  </r>
  <r>
    <n v="24510130700"/>
    <x v="72"/>
    <x v="149"/>
    <x v="152"/>
  </r>
  <r>
    <n v="24510272006"/>
    <x v="93"/>
    <x v="150"/>
    <x v="153"/>
  </r>
  <r>
    <n v="24510270301"/>
    <x v="106"/>
    <x v="151"/>
    <x v="154"/>
  </r>
  <r>
    <n v="24510250103"/>
    <x v="107"/>
    <x v="152"/>
    <x v="155"/>
  </r>
  <r>
    <n v="24510270802"/>
    <x v="108"/>
    <x v="153"/>
    <x v="156"/>
  </r>
  <r>
    <n v="24510240100"/>
    <x v="109"/>
    <x v="154"/>
    <x v="157"/>
  </r>
  <r>
    <n v="24510010100"/>
    <x v="88"/>
    <x v="155"/>
    <x v="158"/>
  </r>
  <r>
    <n v="24510090200"/>
    <x v="78"/>
    <x v="156"/>
    <x v="159"/>
  </r>
  <r>
    <n v="24510140100"/>
    <x v="110"/>
    <x v="157"/>
    <x v="160"/>
  </r>
  <r>
    <n v="24510271101"/>
    <x v="111"/>
    <x v="158"/>
    <x v="161"/>
  </r>
  <r>
    <n v="24510130803"/>
    <x v="112"/>
    <x v="154"/>
    <x v="162"/>
  </r>
  <r>
    <n v="24003750201"/>
    <x v="20"/>
    <x v="159"/>
    <x v="163"/>
  </r>
  <r>
    <n v="24510270102"/>
    <x v="113"/>
    <x v="160"/>
    <x v="164"/>
  </r>
  <r>
    <n v="24510010400"/>
    <x v="88"/>
    <x v="161"/>
    <x v="165"/>
  </r>
  <r>
    <n v="24510270101"/>
    <x v="114"/>
    <x v="162"/>
    <x v="166"/>
  </r>
  <r>
    <n v="24510270804"/>
    <x v="115"/>
    <x v="163"/>
    <x v="167"/>
  </r>
  <r>
    <n v="24510280403"/>
    <x v="116"/>
    <x v="164"/>
    <x v="168"/>
  </r>
  <r>
    <n v="24510272005"/>
    <x v="117"/>
    <x v="165"/>
    <x v="169"/>
  </r>
  <r>
    <n v="24510270600"/>
    <x v="53"/>
    <x v="166"/>
    <x v="170"/>
  </r>
  <r>
    <n v="24510270501"/>
    <x v="118"/>
    <x v="167"/>
    <x v="171"/>
  </r>
  <r>
    <n v="24510270200"/>
    <x v="106"/>
    <x v="168"/>
    <x v="172"/>
  </r>
  <r>
    <n v="24510270502"/>
    <x v="119"/>
    <x v="169"/>
    <x v="173"/>
  </r>
  <r>
    <n v="24005402403"/>
    <x v="75"/>
    <x v="170"/>
    <x v="174"/>
  </r>
  <r>
    <n v="24510272004"/>
    <x v="120"/>
    <x v="171"/>
    <x v="175"/>
  </r>
  <r>
    <n v="24510270402"/>
    <x v="102"/>
    <x v="172"/>
    <x v="176"/>
  </r>
  <r>
    <n v="24510270302"/>
    <x v="113"/>
    <x v="173"/>
    <x v="177"/>
  </r>
  <r>
    <n v="24510270703"/>
    <x v="119"/>
    <x v="174"/>
    <x v="178"/>
  </r>
  <r>
    <n v="24510271503"/>
    <x v="121"/>
    <x v="175"/>
    <x v="179"/>
  </r>
  <r>
    <n v="24510130805"/>
    <x v="122"/>
    <x v="176"/>
    <x v="180"/>
  </r>
  <r>
    <n v="24510240200"/>
    <x v="52"/>
    <x v="177"/>
    <x v="181"/>
  </r>
  <r>
    <n v="24510271102"/>
    <x v="123"/>
    <x v="178"/>
    <x v="182"/>
  </r>
  <r>
    <n v="24510020300"/>
    <x v="124"/>
    <x v="179"/>
    <x v="183"/>
  </r>
  <r>
    <n v="24510271200"/>
    <x v="125"/>
    <x v="180"/>
    <x v="184"/>
  </r>
  <r>
    <n v="24510271300"/>
    <x v="126"/>
    <x v="181"/>
    <x v="185"/>
  </r>
  <r>
    <n v="24510120100"/>
    <x v="127"/>
    <x v="182"/>
    <x v="186"/>
  </r>
  <r>
    <n v="24510271400"/>
    <x v="128"/>
    <x v="183"/>
    <x v="187"/>
  </r>
  <r>
    <n v="24510271501"/>
    <x v="129"/>
    <x v="184"/>
    <x v="18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25FE5CB-D1E0-8743-95F1-7056BA407BC4}" name="PivotTable5" cacheId="17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4" rowHeaderCaption="Names of Neighborhoods in Philadelphia">
  <location ref="A1:C43" firstHeaderRow="0" firstDataRow="1" firstDataCol="1"/>
  <pivotFields count="4">
    <pivotField showAll="0"/>
    <pivotField axis="axisRow" showAll="0" sortType="ascending">
      <items count="42">
        <item x="21"/>
        <item x="28"/>
        <item x="29"/>
        <item x="0"/>
        <item x="30"/>
        <item x="32"/>
        <item x="14"/>
        <item x="27"/>
        <item x="5"/>
        <item x="22"/>
        <item x="39"/>
        <item x="11"/>
        <item x="31"/>
        <item x="12"/>
        <item x="37"/>
        <item x="18"/>
        <item x="9"/>
        <item x="1"/>
        <item x="17"/>
        <item x="23"/>
        <item x="35"/>
        <item x="36"/>
        <item x="15"/>
        <item x="3"/>
        <item x="4"/>
        <item x="2"/>
        <item x="10"/>
        <item x="6"/>
        <item x="34"/>
        <item x="13"/>
        <item x="26"/>
        <item x="24"/>
        <item x="25"/>
        <item x="33"/>
        <item x="8"/>
        <item x="7"/>
        <item x="16"/>
        <item x="38"/>
        <item x="40"/>
        <item x="19"/>
        <item x="20"/>
        <item t="default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dataField="1" numFmtId="9" showAll="0"/>
    <pivotField dataField="1" showAll="0">
      <items count="14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t="default"/>
      </items>
    </pivotField>
  </pivotFields>
  <rowFields count="1">
    <field x="1"/>
  </rowFields>
  <rowItems count="42">
    <i>
      <x v="34"/>
    </i>
    <i>
      <x v="11"/>
    </i>
    <i>
      <x v="8"/>
    </i>
    <i>
      <x v="17"/>
    </i>
    <i>
      <x v="22"/>
    </i>
    <i>
      <x v="36"/>
    </i>
    <i>
      <x v="13"/>
    </i>
    <i>
      <x v="39"/>
    </i>
    <i>
      <x v="35"/>
    </i>
    <i>
      <x v="29"/>
    </i>
    <i>
      <x v="6"/>
    </i>
    <i>
      <x v="23"/>
    </i>
    <i>
      <x v="40"/>
    </i>
    <i>
      <x v="26"/>
    </i>
    <i>
      <x/>
    </i>
    <i>
      <x v="9"/>
    </i>
    <i>
      <x v="31"/>
    </i>
    <i>
      <x v="27"/>
    </i>
    <i>
      <x v="16"/>
    </i>
    <i>
      <x v="18"/>
    </i>
    <i>
      <x v="30"/>
    </i>
    <i>
      <x v="7"/>
    </i>
    <i>
      <x v="1"/>
    </i>
    <i>
      <x v="2"/>
    </i>
    <i>
      <x v="15"/>
    </i>
    <i>
      <x v="28"/>
    </i>
    <i>
      <x v="32"/>
    </i>
    <i>
      <x v="24"/>
    </i>
    <i>
      <x v="25"/>
    </i>
    <i>
      <x v="12"/>
    </i>
    <i>
      <x v="20"/>
    </i>
    <i>
      <x v="14"/>
    </i>
    <i>
      <x v="19"/>
    </i>
    <i>
      <x v="21"/>
    </i>
    <i>
      <x v="33"/>
    </i>
    <i>
      <x v="3"/>
    </i>
    <i>
      <x v="5"/>
    </i>
    <i>
      <x v="37"/>
    </i>
    <i>
      <x v="4"/>
    </i>
    <i>
      <x v="10"/>
    </i>
    <i>
      <x v="38"/>
    </i>
    <i t="grand">
      <x/>
    </i>
  </rowItems>
  <colFields count="1">
    <field x="-2"/>
  </colFields>
  <colItems count="2">
    <i>
      <x/>
    </i>
    <i i="1">
      <x v="1"/>
    </i>
  </colItems>
  <dataFields count="2">
    <dataField name="Average of %Staying in Same Commuting Zone as Adults" fld="2" subtotal="average" baseField="0" baseItem="0" numFmtId="9"/>
    <dataField name="Average of Individual Income" fld="3" subtotal="average" baseField="0" baseItem="0"/>
  </dataFields>
  <formats count="1">
    <format dxfId="1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</formats>
  <chartFormats count="6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2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D9A953-30E9-1145-A6F7-E1A4D98C1C49}" name="PivotTable6" cacheId="22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" rowHeaderCaption="Names of Neighborhoods in Baltimore">
  <location ref="A1:C132" firstHeaderRow="0" firstDataRow="1" firstDataCol="1"/>
  <pivotFields count="4">
    <pivotField showAll="0"/>
    <pivotField axis="axisRow" showAll="0" sortType="ascending">
      <items count="131">
        <item x="74"/>
        <item x="114"/>
        <item x="62"/>
        <item x="57"/>
        <item x="38"/>
        <item x="55"/>
        <item x="94"/>
        <item x="63"/>
        <item x="2"/>
        <item x="27"/>
        <item x="60"/>
        <item x="110"/>
        <item x="66"/>
        <item x="3"/>
        <item x="20"/>
        <item x="73"/>
        <item x="45"/>
        <item x="88"/>
        <item x="104"/>
        <item x="69"/>
        <item x="47"/>
        <item x="11"/>
        <item x="120"/>
        <item x="16"/>
        <item x="122"/>
        <item x="48"/>
        <item x="46"/>
        <item x="117"/>
        <item x="121"/>
        <item x="26"/>
        <item x="51"/>
        <item x="67"/>
        <item x="13"/>
        <item x="12"/>
        <item x="96"/>
        <item x="29"/>
        <item x="56"/>
        <item x="59"/>
        <item x="78"/>
        <item x="128"/>
        <item x="92"/>
        <item x="124"/>
        <item x="84"/>
        <item x="71"/>
        <item x="14"/>
        <item x="86"/>
        <item x="32"/>
        <item x="93"/>
        <item x="102"/>
        <item x="35"/>
        <item x="75"/>
        <item x="72"/>
        <item x="79"/>
        <item x="53"/>
        <item x="28"/>
        <item x="49"/>
        <item x="105"/>
        <item x="37"/>
        <item x="125"/>
        <item x="100"/>
        <item x="82"/>
        <item x="21"/>
        <item x="98"/>
        <item x="115"/>
        <item x="58"/>
        <item x="41"/>
        <item x="106"/>
        <item x="30"/>
        <item x="76"/>
        <item x="99"/>
        <item x="109"/>
        <item x="31"/>
        <item x="23"/>
        <item x="112"/>
        <item x="91"/>
        <item x="123"/>
        <item x="89"/>
        <item x="44"/>
        <item x="1"/>
        <item x="7"/>
        <item x="34"/>
        <item x="80"/>
        <item x="64"/>
        <item x="5"/>
        <item x="129"/>
        <item x="95"/>
        <item x="119"/>
        <item x="36"/>
        <item x="18"/>
        <item x="40"/>
        <item x="24"/>
        <item x="61"/>
        <item x="77"/>
        <item x="10"/>
        <item x="39"/>
        <item x="33"/>
        <item x="101"/>
        <item x="6"/>
        <item x="22"/>
        <item x="0"/>
        <item x="9"/>
        <item x="111"/>
        <item x="108"/>
        <item x="68"/>
        <item x="42"/>
        <item x="4"/>
        <item x="103"/>
        <item x="52"/>
        <item x="87"/>
        <item x="126"/>
        <item x="43"/>
        <item x="54"/>
        <item x="15"/>
        <item x="8"/>
        <item x="25"/>
        <item x="127"/>
        <item x="65"/>
        <item x="17"/>
        <item x="107"/>
        <item x="97"/>
        <item x="113"/>
        <item x="85"/>
        <item x="116"/>
        <item x="19"/>
        <item x="81"/>
        <item x="70"/>
        <item x="90"/>
        <item x="50"/>
        <item x="118"/>
        <item x="83"/>
        <item t="default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dataField="1" numFmtId="9" showAll="0">
      <items count="186">
        <item x="178"/>
        <item x="184"/>
        <item x="181"/>
        <item x="183"/>
        <item x="182"/>
        <item x="180"/>
        <item x="165"/>
        <item x="179"/>
        <item x="171"/>
        <item x="175"/>
        <item x="150"/>
        <item x="161"/>
        <item x="147"/>
        <item x="53"/>
        <item x="72"/>
        <item x="128"/>
        <item x="176"/>
        <item x="131"/>
        <item x="157"/>
        <item x="163"/>
        <item x="158"/>
        <item x="121"/>
        <item x="103"/>
        <item x="169"/>
        <item x="177"/>
        <item x="152"/>
        <item x="149"/>
        <item x="168"/>
        <item x="155"/>
        <item x="167"/>
        <item x="154"/>
        <item x="174"/>
        <item x="28"/>
        <item x="127"/>
        <item x="173"/>
        <item x="36"/>
        <item x="164"/>
        <item x="65"/>
        <item x="159"/>
        <item x="50"/>
        <item x="129"/>
        <item x="13"/>
        <item x="166"/>
        <item x="156"/>
        <item x="162"/>
        <item x="123"/>
        <item x="160"/>
        <item x="138"/>
        <item x="111"/>
        <item x="81"/>
        <item x="140"/>
        <item x="125"/>
        <item x="151"/>
        <item x="172"/>
        <item x="9"/>
        <item x="2"/>
        <item x="124"/>
        <item x="89"/>
        <item x="120"/>
        <item x="96"/>
        <item x="136"/>
        <item x="97"/>
        <item x="146"/>
        <item x="148"/>
        <item x="109"/>
        <item x="144"/>
        <item x="135"/>
        <item x="106"/>
        <item x="1"/>
        <item x="70"/>
        <item x="113"/>
        <item x="145"/>
        <item x="122"/>
        <item x="86"/>
        <item x="139"/>
        <item x="84"/>
        <item x="101"/>
        <item x="48"/>
        <item x="20"/>
        <item x="87"/>
        <item x="119"/>
        <item x="170"/>
        <item x="115"/>
        <item x="143"/>
        <item x="112"/>
        <item x="105"/>
        <item x="133"/>
        <item x="4"/>
        <item x="153"/>
        <item x="141"/>
        <item x="137"/>
        <item x="66"/>
        <item x="45"/>
        <item x="110"/>
        <item x="142"/>
        <item x="5"/>
        <item x="114"/>
        <item x="59"/>
        <item x="126"/>
        <item x="108"/>
        <item x="39"/>
        <item x="116"/>
        <item x="93"/>
        <item x="95"/>
        <item x="132"/>
        <item x="104"/>
        <item x="42"/>
        <item x="85"/>
        <item x="71"/>
        <item x="57"/>
        <item x="61"/>
        <item x="16"/>
        <item x="99"/>
        <item x="3"/>
        <item x="134"/>
        <item x="130"/>
        <item x="98"/>
        <item x="51"/>
        <item x="17"/>
        <item x="94"/>
        <item x="91"/>
        <item x="27"/>
        <item x="78"/>
        <item x="49"/>
        <item x="88"/>
        <item x="75"/>
        <item x="69"/>
        <item x="83"/>
        <item x="117"/>
        <item x="77"/>
        <item x="107"/>
        <item x="55"/>
        <item x="82"/>
        <item x="18"/>
        <item x="73"/>
        <item x="12"/>
        <item x="29"/>
        <item x="118"/>
        <item x="52"/>
        <item x="60"/>
        <item x="76"/>
        <item x="8"/>
        <item x="24"/>
        <item x="56"/>
        <item x="62"/>
        <item x="58"/>
        <item x="34"/>
        <item x="10"/>
        <item x="100"/>
        <item x="67"/>
        <item x="6"/>
        <item x="46"/>
        <item x="23"/>
        <item x="63"/>
        <item x="7"/>
        <item x="30"/>
        <item x="26"/>
        <item x="79"/>
        <item x="19"/>
        <item x="40"/>
        <item x="74"/>
        <item x="41"/>
        <item x="35"/>
        <item x="38"/>
        <item x="21"/>
        <item x="14"/>
        <item x="22"/>
        <item x="37"/>
        <item x="43"/>
        <item x="11"/>
        <item x="80"/>
        <item x="64"/>
        <item x="33"/>
        <item x="47"/>
        <item x="102"/>
        <item x="92"/>
        <item x="32"/>
        <item x="25"/>
        <item x="44"/>
        <item x="90"/>
        <item x="54"/>
        <item x="68"/>
        <item x="0"/>
        <item x="31"/>
        <item x="15"/>
        <item t="default"/>
      </items>
    </pivotField>
    <pivotField dataField="1" showAll="0">
      <items count="1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t="default"/>
      </items>
    </pivotField>
  </pivotFields>
  <rowFields count="1">
    <field x="1"/>
  </rowFields>
  <rowItems count="131">
    <i>
      <x v="78"/>
    </i>
    <i>
      <x v="8"/>
    </i>
    <i>
      <x v="83"/>
    </i>
    <i>
      <x v="79"/>
    </i>
    <i>
      <x v="113"/>
    </i>
    <i>
      <x v="100"/>
    </i>
    <i>
      <x v="33"/>
    </i>
    <i>
      <x v="44"/>
    </i>
    <i>
      <x v="23"/>
    </i>
    <i>
      <x v="88"/>
    </i>
    <i>
      <x v="123"/>
    </i>
    <i>
      <x v="97"/>
    </i>
    <i>
      <x v="61"/>
    </i>
    <i>
      <x v="98"/>
    </i>
    <i>
      <x v="117"/>
    </i>
    <i>
      <x v="72"/>
    </i>
    <i>
      <x v="105"/>
    </i>
    <i>
      <x v="13"/>
    </i>
    <i>
      <x v="90"/>
    </i>
    <i>
      <x v="99"/>
    </i>
    <i>
      <x v="29"/>
    </i>
    <i>
      <x v="54"/>
    </i>
    <i>
      <x v="35"/>
    </i>
    <i>
      <x v="71"/>
    </i>
    <i>
      <x v="112"/>
    </i>
    <i>
      <x v="46"/>
    </i>
    <i>
      <x v="95"/>
    </i>
    <i>
      <x v="80"/>
    </i>
    <i>
      <x v="49"/>
    </i>
    <i>
      <x v="87"/>
    </i>
    <i>
      <x v="57"/>
    </i>
    <i>
      <x v="94"/>
    </i>
    <i>
      <x v="21"/>
    </i>
    <i>
      <x v="89"/>
    </i>
    <i>
      <x v="65"/>
    </i>
    <i>
      <x v="104"/>
    </i>
    <i>
      <x v="110"/>
    </i>
    <i>
      <x v="77"/>
    </i>
    <i>
      <x v="16"/>
    </i>
    <i>
      <x v="9"/>
    </i>
    <i>
      <x v="26"/>
    </i>
    <i>
      <x v="93"/>
    </i>
    <i>
      <x v="67"/>
    </i>
    <i>
      <x v="55"/>
    </i>
    <i>
      <x v="4"/>
    </i>
    <i>
      <x v="127"/>
    </i>
    <i>
      <x v="25"/>
    </i>
    <i>
      <x v="30"/>
    </i>
    <i>
      <x v="111"/>
    </i>
    <i>
      <x v="5"/>
    </i>
    <i>
      <x v="36"/>
    </i>
    <i>
      <x v="3"/>
    </i>
    <i>
      <x v="64"/>
    </i>
    <i>
      <x v="20"/>
    </i>
    <i>
      <x v="91"/>
    </i>
    <i>
      <x v="114"/>
    </i>
    <i>
      <x v="2"/>
    </i>
    <i>
      <x v="82"/>
    </i>
    <i>
      <x v="10"/>
    </i>
    <i>
      <x v="12"/>
    </i>
    <i>
      <x v="32"/>
    </i>
    <i>
      <x v="37"/>
    </i>
    <i>
      <x v="14"/>
    </i>
    <i>
      <x v="31"/>
    </i>
    <i>
      <x v="103"/>
    </i>
    <i>
      <x v="19"/>
    </i>
    <i>
      <x v="125"/>
    </i>
    <i>
      <x v="15"/>
    </i>
    <i>
      <x/>
    </i>
    <i>
      <x v="68"/>
    </i>
    <i>
      <x v="92"/>
    </i>
    <i>
      <x v="52"/>
    </i>
    <i>
      <x v="116"/>
    </i>
    <i>
      <x v="124"/>
    </i>
    <i>
      <x v="129"/>
    </i>
    <i>
      <x v="7"/>
    </i>
    <i>
      <x v="42"/>
    </i>
    <i>
      <x v="43"/>
    </i>
    <i>
      <x v="121"/>
    </i>
    <i>
      <x v="60"/>
    </i>
    <i>
      <x v="81"/>
    </i>
    <i>
      <x v="45"/>
    </i>
    <i>
      <x v="108"/>
    </i>
    <i>
      <x v="76"/>
    </i>
    <i>
      <x v="51"/>
    </i>
    <i>
      <x v="126"/>
    </i>
    <i>
      <x v="74"/>
    </i>
    <i>
      <x v="38"/>
    </i>
    <i>
      <x v="40"/>
    </i>
    <i>
      <x v="6"/>
    </i>
    <i>
      <x v="85"/>
    </i>
    <i>
      <x v="50"/>
    </i>
    <i>
      <x v="53"/>
    </i>
    <i>
      <x v="34"/>
    </i>
    <i>
      <x v="119"/>
    </i>
    <i>
      <x v="62"/>
    </i>
    <i>
      <x v="47"/>
    </i>
    <i>
      <x v="69"/>
    </i>
    <i>
      <x v="59"/>
    </i>
    <i>
      <x v="96"/>
    </i>
    <i>
      <x v="106"/>
    </i>
    <i>
      <x v="18"/>
    </i>
    <i>
      <x v="56"/>
    </i>
    <i>
      <x v="17"/>
    </i>
    <i>
      <x v="118"/>
    </i>
    <i>
      <x v="102"/>
    </i>
    <i>
      <x v="70"/>
    </i>
    <i>
      <x v="11"/>
    </i>
    <i>
      <x v="101"/>
    </i>
    <i>
      <x v="73"/>
    </i>
    <i>
      <x v="107"/>
    </i>
    <i>
      <x v="66"/>
    </i>
    <i>
      <x v="48"/>
    </i>
    <i>
      <x v="1"/>
    </i>
    <i>
      <x v="63"/>
    </i>
    <i>
      <x v="122"/>
    </i>
    <i>
      <x v="27"/>
    </i>
    <i>
      <x v="120"/>
    </i>
    <i>
      <x v="128"/>
    </i>
    <i>
      <x v="22"/>
    </i>
    <i>
      <x v="86"/>
    </i>
    <i>
      <x v="28"/>
    </i>
    <i>
      <x v="24"/>
    </i>
    <i>
      <x v="75"/>
    </i>
    <i>
      <x v="41"/>
    </i>
    <i>
      <x v="58"/>
    </i>
    <i>
      <x v="109"/>
    </i>
    <i>
      <x v="115"/>
    </i>
    <i>
      <x v="39"/>
    </i>
    <i>
      <x v="84"/>
    </i>
    <i t="grand">
      <x/>
    </i>
  </rowItems>
  <colFields count="1">
    <field x="-2"/>
  </colFields>
  <colItems count="2">
    <i>
      <x/>
    </i>
    <i i="1">
      <x v="1"/>
    </i>
  </colItems>
  <dataFields count="2">
    <dataField name="Average of % Staying in Same Commuting Zone as Adults" fld="2" subtotal="average" baseField="0" baseItem="0"/>
    <dataField name="Average of Individual Income" fld="3" subtotal="average" baseField="0" baseItem="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67D5F5-79E6-2C4C-9F8C-8F1598EAFD18}">
  <dimension ref="A1:C46"/>
  <sheetViews>
    <sheetView topLeftCell="B1" zoomScale="62" workbookViewId="0">
      <selection activeCell="B41" sqref="B41"/>
    </sheetView>
  </sheetViews>
  <sheetFormatPr baseColWidth="10" defaultRowHeight="16" x14ac:dyDescent="0.2"/>
  <cols>
    <col min="1" max="1" width="41.1640625" customWidth="1"/>
    <col min="2" max="2" width="60" customWidth="1"/>
    <col min="3" max="3" width="33.33203125" customWidth="1"/>
  </cols>
  <sheetData>
    <row r="1" spans="1:3" x14ac:dyDescent="0.2">
      <c r="A1" s="4" t="s">
        <v>385</v>
      </c>
      <c r="B1" t="s">
        <v>381</v>
      </c>
      <c r="C1" t="s">
        <v>380</v>
      </c>
    </row>
    <row r="2" spans="1:3" x14ac:dyDescent="0.2">
      <c r="A2" s="5" t="s">
        <v>251</v>
      </c>
      <c r="B2" s="8">
        <v>0.51319999999999999</v>
      </c>
      <c r="C2" s="6">
        <v>28553</v>
      </c>
    </row>
    <row r="3" spans="1:3" x14ac:dyDescent="0.2">
      <c r="A3" s="5" t="s">
        <v>244</v>
      </c>
      <c r="B3" s="8">
        <v>0.82509999999999994</v>
      </c>
      <c r="C3" s="6">
        <v>28717</v>
      </c>
    </row>
    <row r="4" spans="1:3" x14ac:dyDescent="0.2">
      <c r="A4" s="5" t="s">
        <v>157</v>
      </c>
      <c r="B4" s="8">
        <v>0.77690000000000003</v>
      </c>
      <c r="C4" s="6">
        <v>28802.5</v>
      </c>
    </row>
    <row r="5" spans="1:3" x14ac:dyDescent="0.2">
      <c r="A5" s="5" t="s">
        <v>253</v>
      </c>
      <c r="B5" s="8">
        <v>0.88705000000000001</v>
      </c>
      <c r="C5" s="6">
        <v>29159</v>
      </c>
    </row>
    <row r="6" spans="1:3" x14ac:dyDescent="0.2">
      <c r="A6" s="5" t="s">
        <v>201</v>
      </c>
      <c r="B6" s="8">
        <v>0.82940000000000003</v>
      </c>
      <c r="C6" s="6">
        <v>29428</v>
      </c>
    </row>
    <row r="7" spans="1:3" x14ac:dyDescent="0.2">
      <c r="A7" s="5" t="s">
        <v>159</v>
      </c>
      <c r="B7" s="8">
        <v>0.8246</v>
      </c>
      <c r="C7" s="6">
        <v>29525</v>
      </c>
    </row>
    <row r="8" spans="1:3" x14ac:dyDescent="0.2">
      <c r="A8" s="5" t="s">
        <v>218</v>
      </c>
      <c r="B8" s="8">
        <v>0.82240000000000002</v>
      </c>
      <c r="C8" s="6">
        <v>29688.5</v>
      </c>
    </row>
    <row r="9" spans="1:3" x14ac:dyDescent="0.2">
      <c r="A9" s="5" t="s">
        <v>153</v>
      </c>
      <c r="B9" s="8">
        <v>0.67549999999999999</v>
      </c>
      <c r="C9" s="6">
        <v>30163</v>
      </c>
    </row>
    <row r="10" spans="1:3" x14ac:dyDescent="0.2">
      <c r="A10" s="5" t="s">
        <v>156</v>
      </c>
      <c r="B10" s="8">
        <v>0.88473333333333326</v>
      </c>
      <c r="C10" s="6">
        <v>30237.666666666668</v>
      </c>
    </row>
    <row r="11" spans="1:3" x14ac:dyDescent="0.2">
      <c r="A11" s="5" t="s">
        <v>246</v>
      </c>
      <c r="B11" s="8">
        <v>0.84119999999999995</v>
      </c>
      <c r="C11" s="6">
        <v>30612.5</v>
      </c>
    </row>
    <row r="12" spans="1:3" x14ac:dyDescent="0.2">
      <c r="A12" s="5" t="s">
        <v>217</v>
      </c>
      <c r="B12" s="8">
        <v>0.72799999999999998</v>
      </c>
      <c r="C12" s="6">
        <v>30892.5</v>
      </c>
    </row>
    <row r="13" spans="1:3" x14ac:dyDescent="0.2">
      <c r="A13" s="5" t="s">
        <v>166</v>
      </c>
      <c r="B13" s="8">
        <v>0.79169333333333325</v>
      </c>
      <c r="C13" s="6">
        <v>30948.2</v>
      </c>
    </row>
    <row r="14" spans="1:3" x14ac:dyDescent="0.2">
      <c r="A14" s="5" t="s">
        <v>211</v>
      </c>
      <c r="B14" s="8">
        <v>0.75849999999999995</v>
      </c>
      <c r="C14" s="6">
        <v>30957</v>
      </c>
    </row>
    <row r="15" spans="1:3" x14ac:dyDescent="0.2">
      <c r="A15" s="5" t="s">
        <v>214</v>
      </c>
      <c r="B15" s="8">
        <v>0.75419999999999998</v>
      </c>
      <c r="C15" s="6">
        <v>31010.5</v>
      </c>
    </row>
    <row r="16" spans="1:3" x14ac:dyDescent="0.2">
      <c r="A16" s="5" t="s">
        <v>182</v>
      </c>
      <c r="B16" s="8">
        <v>0.79269999999999996</v>
      </c>
      <c r="C16" s="6">
        <v>31039</v>
      </c>
    </row>
    <row r="17" spans="1:3" x14ac:dyDescent="0.2">
      <c r="A17" s="5" t="s">
        <v>210</v>
      </c>
      <c r="B17" s="8">
        <v>0.83499999999999996</v>
      </c>
      <c r="C17" s="6">
        <v>31134</v>
      </c>
    </row>
    <row r="18" spans="1:3" x14ac:dyDescent="0.2">
      <c r="A18" s="5" t="s">
        <v>267</v>
      </c>
      <c r="B18" s="8">
        <v>0.60460000000000003</v>
      </c>
      <c r="C18" s="6">
        <v>31229</v>
      </c>
    </row>
    <row r="19" spans="1:3" x14ac:dyDescent="0.2">
      <c r="A19" s="5" t="s">
        <v>249</v>
      </c>
      <c r="B19" s="8">
        <v>0.81974000000000014</v>
      </c>
      <c r="C19" s="6">
        <v>31272.3</v>
      </c>
    </row>
    <row r="20" spans="1:3" x14ac:dyDescent="0.2">
      <c r="A20" s="5" t="s">
        <v>238</v>
      </c>
      <c r="B20" s="8">
        <v>0.8338000000000001</v>
      </c>
      <c r="C20" s="6">
        <v>31631.8</v>
      </c>
    </row>
    <row r="21" spans="1:3" x14ac:dyDescent="0.2">
      <c r="A21" s="5" t="s">
        <v>255</v>
      </c>
      <c r="B21" s="8">
        <v>0.82962500000000006</v>
      </c>
      <c r="C21" s="6">
        <v>31769</v>
      </c>
    </row>
    <row r="22" spans="1:3" x14ac:dyDescent="0.2">
      <c r="A22" s="5" t="s">
        <v>289</v>
      </c>
      <c r="B22" s="8">
        <v>0.88939999999999997</v>
      </c>
      <c r="C22" s="6">
        <v>32150</v>
      </c>
    </row>
    <row r="23" spans="1:3" x14ac:dyDescent="0.2">
      <c r="A23" s="5" t="s">
        <v>282</v>
      </c>
      <c r="B23" s="8">
        <v>0.87549999999999994</v>
      </c>
      <c r="C23" s="6">
        <v>32365</v>
      </c>
    </row>
    <row r="24" spans="1:3" x14ac:dyDescent="0.2">
      <c r="A24" s="5" t="s">
        <v>280</v>
      </c>
      <c r="B24" s="8">
        <v>0.89810000000000001</v>
      </c>
      <c r="C24" s="6">
        <v>32480</v>
      </c>
    </row>
    <row r="25" spans="1:3" x14ac:dyDescent="0.2">
      <c r="A25" s="5" t="s">
        <v>277</v>
      </c>
      <c r="B25" s="8">
        <v>0.79210000000000003</v>
      </c>
      <c r="C25" s="6">
        <v>32549</v>
      </c>
    </row>
    <row r="26" spans="1:3" x14ac:dyDescent="0.2">
      <c r="A26" s="5" t="s">
        <v>154</v>
      </c>
      <c r="B26" s="8">
        <v>0.86738000000000004</v>
      </c>
      <c r="C26" s="6">
        <v>32716.2</v>
      </c>
    </row>
    <row r="27" spans="1:3" x14ac:dyDescent="0.2">
      <c r="A27" s="5" t="s">
        <v>286</v>
      </c>
      <c r="B27" s="8">
        <v>0.87109999999999999</v>
      </c>
      <c r="C27" s="6">
        <v>33784</v>
      </c>
    </row>
    <row r="28" spans="1:3" x14ac:dyDescent="0.2">
      <c r="A28" s="5" t="s">
        <v>259</v>
      </c>
      <c r="B28" s="8">
        <v>0.68169999999999997</v>
      </c>
      <c r="C28" s="6">
        <v>34567</v>
      </c>
    </row>
    <row r="29" spans="1:3" x14ac:dyDescent="0.2">
      <c r="A29" s="5" t="s">
        <v>155</v>
      </c>
      <c r="B29" s="8">
        <v>0.82549047619047622</v>
      </c>
      <c r="C29" s="6">
        <v>34724.904761904763</v>
      </c>
    </row>
    <row r="30" spans="1:3" x14ac:dyDescent="0.2">
      <c r="A30" s="5" t="s">
        <v>158</v>
      </c>
      <c r="B30" s="8">
        <v>0.79878000000000005</v>
      </c>
      <c r="C30" s="6">
        <v>35134</v>
      </c>
    </row>
    <row r="31" spans="1:3" x14ac:dyDescent="0.2">
      <c r="A31" s="5" t="s">
        <v>297</v>
      </c>
      <c r="B31" s="8">
        <v>0.82797999999999994</v>
      </c>
      <c r="C31" s="6">
        <v>35403</v>
      </c>
    </row>
    <row r="32" spans="1:3" x14ac:dyDescent="0.2">
      <c r="A32" s="5" t="s">
        <v>304</v>
      </c>
      <c r="B32" s="8">
        <v>0.85685</v>
      </c>
      <c r="C32" s="6">
        <v>35467.5</v>
      </c>
    </row>
    <row r="33" spans="1:3" x14ac:dyDescent="0.2">
      <c r="A33" s="5" t="s">
        <v>294</v>
      </c>
      <c r="B33" s="8">
        <v>0.88339999999999996</v>
      </c>
      <c r="C33" s="6">
        <v>35523</v>
      </c>
    </row>
    <row r="34" spans="1:3" x14ac:dyDescent="0.2">
      <c r="A34" s="5" t="s">
        <v>275</v>
      </c>
      <c r="B34" s="8">
        <v>0.85844999999999994</v>
      </c>
      <c r="C34" s="6">
        <v>35604.75</v>
      </c>
    </row>
    <row r="35" spans="1:3" x14ac:dyDescent="0.2">
      <c r="A35" s="5" t="s">
        <v>232</v>
      </c>
      <c r="B35" s="8">
        <v>0.63473333333333337</v>
      </c>
      <c r="C35" s="6">
        <v>36200</v>
      </c>
    </row>
    <row r="36" spans="1:3" x14ac:dyDescent="0.2">
      <c r="A36" s="5" t="s">
        <v>317</v>
      </c>
      <c r="B36" s="8">
        <v>0.83474999999999999</v>
      </c>
      <c r="C36" s="6">
        <v>36709</v>
      </c>
    </row>
    <row r="37" spans="1:3" x14ac:dyDescent="0.2">
      <c r="A37" s="5" t="s">
        <v>235</v>
      </c>
      <c r="B37" s="8">
        <v>0.55115000000000003</v>
      </c>
      <c r="C37" s="6">
        <v>36748.222222222219</v>
      </c>
    </row>
    <row r="38" spans="1:3" x14ac:dyDescent="0.2">
      <c r="A38" s="5" t="s">
        <v>266</v>
      </c>
      <c r="B38" s="8">
        <v>0.7058333333333332</v>
      </c>
      <c r="C38" s="6">
        <v>37007</v>
      </c>
    </row>
    <row r="39" spans="1:3" x14ac:dyDescent="0.2">
      <c r="A39" s="5" t="s">
        <v>329</v>
      </c>
      <c r="B39" s="8">
        <v>0.4798</v>
      </c>
      <c r="C39" s="6">
        <v>38510</v>
      </c>
    </row>
    <row r="40" spans="1:3" x14ac:dyDescent="0.2">
      <c r="A40" s="5" t="s">
        <v>283</v>
      </c>
      <c r="B40" s="8">
        <v>0.54037500000000005</v>
      </c>
      <c r="C40" s="6">
        <v>41482.25</v>
      </c>
    </row>
    <row r="41" spans="1:3" x14ac:dyDescent="0.2">
      <c r="A41" s="5" t="s">
        <v>172</v>
      </c>
      <c r="B41" s="8">
        <v>0.64223333333333332</v>
      </c>
      <c r="C41" s="6">
        <v>41889.333333333336</v>
      </c>
    </row>
    <row r="42" spans="1:3" x14ac:dyDescent="0.2">
      <c r="A42" s="5" t="s">
        <v>160</v>
      </c>
      <c r="B42" s="8">
        <v>0.4234</v>
      </c>
      <c r="C42" s="6">
        <v>44139</v>
      </c>
    </row>
    <row r="43" spans="1:3" x14ac:dyDescent="0.2">
      <c r="A43" s="5" t="s">
        <v>379</v>
      </c>
      <c r="B43" s="8">
        <v>0.76092094594594595</v>
      </c>
      <c r="C43" s="6">
        <v>33886.62837837838</v>
      </c>
    </row>
    <row r="45" spans="1:3" x14ac:dyDescent="0.2">
      <c r="A45" s="11" t="s">
        <v>382</v>
      </c>
      <c r="B45" s="12">
        <f>CORREL(B2:B42,C2:C42)</f>
        <v>-0.51109750528735687</v>
      </c>
    </row>
    <row r="46" spans="1:3" x14ac:dyDescent="0.2">
      <c r="A46" s="5"/>
    </row>
  </sheetData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1372FC-87C7-774E-9DAE-7846F5AB5D65}">
  <dimension ref="A1:C135"/>
  <sheetViews>
    <sheetView topLeftCell="A135" zoomScale="61" workbookViewId="0">
      <selection activeCell="F55" sqref="F55"/>
    </sheetView>
  </sheetViews>
  <sheetFormatPr baseColWidth="10" defaultRowHeight="16" x14ac:dyDescent="0.2"/>
  <cols>
    <col min="1" max="1" width="40.1640625" customWidth="1"/>
    <col min="2" max="2" width="48.6640625" style="7" customWidth="1"/>
    <col min="3" max="3" width="25.5" bestFit="1" customWidth="1"/>
  </cols>
  <sheetData>
    <row r="1" spans="1:3" x14ac:dyDescent="0.2">
      <c r="A1" s="4" t="s">
        <v>384</v>
      </c>
      <c r="B1" s="7" t="s">
        <v>383</v>
      </c>
      <c r="C1" t="s">
        <v>380</v>
      </c>
    </row>
    <row r="2" spans="1:3" x14ac:dyDescent="0.2">
      <c r="A2" s="5" t="s">
        <v>129</v>
      </c>
      <c r="B2" s="7">
        <v>0.82199999999999995</v>
      </c>
      <c r="C2" s="6">
        <v>14938</v>
      </c>
    </row>
    <row r="3" spans="1:3" x14ac:dyDescent="0.2">
      <c r="A3" s="5" t="s">
        <v>138</v>
      </c>
      <c r="B3" s="7">
        <v>0.80200000000000005</v>
      </c>
      <c r="C3" s="6">
        <v>15614</v>
      </c>
    </row>
    <row r="4" spans="1:3" x14ac:dyDescent="0.2">
      <c r="A4" s="5" t="s">
        <v>133</v>
      </c>
      <c r="B4" s="7">
        <v>0.85360000000000003</v>
      </c>
      <c r="C4" s="6">
        <v>16142</v>
      </c>
    </row>
    <row r="5" spans="1:3" x14ac:dyDescent="0.2">
      <c r="A5" s="5" t="s">
        <v>148</v>
      </c>
      <c r="B5" s="7">
        <v>0.89549999999999996</v>
      </c>
      <c r="C5" s="6">
        <v>16572</v>
      </c>
    </row>
    <row r="6" spans="1:3" x14ac:dyDescent="0.2">
      <c r="A6" s="5" t="s">
        <v>146</v>
      </c>
      <c r="B6" s="7">
        <v>0.88719999999999999</v>
      </c>
      <c r="C6" s="6">
        <v>16603</v>
      </c>
    </row>
    <row r="7" spans="1:3" x14ac:dyDescent="0.2">
      <c r="A7" s="5" t="s">
        <v>118</v>
      </c>
      <c r="B7" s="7">
        <v>0.79930000000000001</v>
      </c>
      <c r="C7" s="6">
        <v>16632</v>
      </c>
    </row>
    <row r="8" spans="1:3" x14ac:dyDescent="0.2">
      <c r="A8" s="5" t="s">
        <v>143</v>
      </c>
      <c r="B8" s="7">
        <v>0.88349999999999995</v>
      </c>
      <c r="C8" s="6">
        <v>16874</v>
      </c>
    </row>
    <row r="9" spans="1:3" x14ac:dyDescent="0.2">
      <c r="A9" s="5" t="s">
        <v>145</v>
      </c>
      <c r="B9" s="7">
        <v>0.90339999999999998</v>
      </c>
      <c r="C9" s="6">
        <v>16972</v>
      </c>
    </row>
    <row r="10" spans="1:3" x14ac:dyDescent="0.2">
      <c r="A10" s="5" t="s">
        <v>142</v>
      </c>
      <c r="B10" s="7">
        <v>0.8669</v>
      </c>
      <c r="C10" s="6">
        <v>17118</v>
      </c>
    </row>
    <row r="11" spans="1:3" x14ac:dyDescent="0.2">
      <c r="A11" s="5" t="s">
        <v>135</v>
      </c>
      <c r="B11" s="7">
        <v>0.88270000000000004</v>
      </c>
      <c r="C11" s="6">
        <v>17340</v>
      </c>
    </row>
    <row r="12" spans="1:3" x14ac:dyDescent="0.2">
      <c r="A12" s="5" t="s">
        <v>140</v>
      </c>
      <c r="B12" s="7">
        <v>0.89690000000000003</v>
      </c>
      <c r="C12" s="6">
        <v>17370</v>
      </c>
    </row>
    <row r="13" spans="1:3" x14ac:dyDescent="0.2">
      <c r="A13" s="5" t="s">
        <v>86</v>
      </c>
      <c r="B13" s="7">
        <v>0.87579999999999991</v>
      </c>
      <c r="C13" s="6">
        <v>17512.5</v>
      </c>
    </row>
    <row r="14" spans="1:3" x14ac:dyDescent="0.2">
      <c r="A14" s="5" t="s">
        <v>147</v>
      </c>
      <c r="B14" s="7">
        <v>0.90310000000000001</v>
      </c>
      <c r="C14" s="6">
        <v>17684</v>
      </c>
    </row>
    <row r="15" spans="1:3" x14ac:dyDescent="0.2">
      <c r="A15" s="5" t="s">
        <v>144</v>
      </c>
      <c r="B15" s="7">
        <v>0.90400000000000003</v>
      </c>
      <c r="C15" s="6">
        <v>17719</v>
      </c>
    </row>
    <row r="16" spans="1:3" x14ac:dyDescent="0.2">
      <c r="A16" s="5" t="s">
        <v>136</v>
      </c>
      <c r="B16" s="7">
        <v>0.89280000000000004</v>
      </c>
      <c r="C16" s="6">
        <v>17815.5</v>
      </c>
    </row>
    <row r="17" spans="1:3" x14ac:dyDescent="0.2">
      <c r="A17" s="5" t="s">
        <v>141</v>
      </c>
      <c r="B17" s="7">
        <v>0.88819999999999999</v>
      </c>
      <c r="C17" s="6">
        <v>17947</v>
      </c>
    </row>
    <row r="18" spans="1:3" x14ac:dyDescent="0.2">
      <c r="A18" s="5" t="s">
        <v>117</v>
      </c>
      <c r="B18" s="7">
        <v>0.8679</v>
      </c>
      <c r="C18" s="6">
        <v>18054</v>
      </c>
    </row>
    <row r="19" spans="1:3" x14ac:dyDescent="0.2">
      <c r="A19" s="5" t="s">
        <v>123</v>
      </c>
      <c r="B19" s="7">
        <v>0.89103999999999994</v>
      </c>
      <c r="C19" s="6">
        <v>18198.8</v>
      </c>
    </row>
    <row r="20" spans="1:3" x14ac:dyDescent="0.2">
      <c r="A20" s="5" t="s">
        <v>139</v>
      </c>
      <c r="B20" s="7">
        <v>0.89649999999999996</v>
      </c>
      <c r="C20" s="6">
        <v>18262</v>
      </c>
    </row>
    <row r="21" spans="1:3" x14ac:dyDescent="0.2">
      <c r="A21" s="5" t="s">
        <v>102</v>
      </c>
      <c r="B21" s="7">
        <v>0.92405000000000004</v>
      </c>
      <c r="C21" s="6">
        <v>18310</v>
      </c>
    </row>
    <row r="22" spans="1:3" x14ac:dyDescent="0.2">
      <c r="A22" s="5" t="s">
        <v>90</v>
      </c>
      <c r="B22" s="7">
        <v>0.76429999999999998</v>
      </c>
      <c r="C22" s="6">
        <v>18416</v>
      </c>
    </row>
    <row r="23" spans="1:3" x14ac:dyDescent="0.2">
      <c r="A23" s="5" t="s">
        <v>126</v>
      </c>
      <c r="B23" s="7">
        <v>0.8841</v>
      </c>
      <c r="C23" s="6">
        <v>18483</v>
      </c>
    </row>
    <row r="24" spans="1:3" x14ac:dyDescent="0.2">
      <c r="A24" s="5" t="s">
        <v>134</v>
      </c>
      <c r="B24" s="7">
        <v>0.89590000000000003</v>
      </c>
      <c r="C24" s="6">
        <v>18484</v>
      </c>
    </row>
    <row r="25" spans="1:3" x14ac:dyDescent="0.2">
      <c r="A25" s="5" t="s">
        <v>130</v>
      </c>
      <c r="B25" s="7">
        <v>0.91090000000000004</v>
      </c>
      <c r="C25" s="6">
        <v>18511</v>
      </c>
    </row>
    <row r="26" spans="1:3" x14ac:dyDescent="0.2">
      <c r="A26" s="5" t="s">
        <v>127</v>
      </c>
      <c r="B26" s="7">
        <v>0.91725000000000001</v>
      </c>
      <c r="C26" s="6">
        <v>18589.5</v>
      </c>
    </row>
    <row r="27" spans="1:3" x14ac:dyDescent="0.2">
      <c r="A27" s="5" t="s">
        <v>137</v>
      </c>
      <c r="B27" s="7">
        <v>0.89119999999999999</v>
      </c>
      <c r="C27" s="6">
        <v>18694</v>
      </c>
    </row>
    <row r="28" spans="1:3" x14ac:dyDescent="0.2">
      <c r="A28" s="5" t="s">
        <v>131</v>
      </c>
      <c r="B28" s="7">
        <v>0.90010000000000001</v>
      </c>
      <c r="C28" s="6">
        <v>18742</v>
      </c>
    </row>
    <row r="29" spans="1:3" x14ac:dyDescent="0.2">
      <c r="A29" s="5" t="s">
        <v>125</v>
      </c>
      <c r="B29" s="7">
        <v>0.9042</v>
      </c>
      <c r="C29" s="6">
        <v>18821</v>
      </c>
    </row>
    <row r="30" spans="1:3" x14ac:dyDescent="0.2">
      <c r="A30" s="5" t="s">
        <v>119</v>
      </c>
      <c r="B30" s="7">
        <v>0.90159999999999996</v>
      </c>
      <c r="C30" s="6">
        <v>18824</v>
      </c>
    </row>
    <row r="31" spans="1:3" x14ac:dyDescent="0.2">
      <c r="A31" s="5" t="s">
        <v>128</v>
      </c>
      <c r="B31" s="7">
        <v>0.8972</v>
      </c>
      <c r="C31" s="6">
        <v>18863</v>
      </c>
    </row>
    <row r="32" spans="1:3" x14ac:dyDescent="0.2">
      <c r="A32" s="5" t="s">
        <v>108</v>
      </c>
      <c r="B32" s="7">
        <v>0.86419999999999997</v>
      </c>
      <c r="C32" s="6">
        <v>19083</v>
      </c>
    </row>
    <row r="33" spans="1:3" x14ac:dyDescent="0.2">
      <c r="A33" s="5" t="s">
        <v>124</v>
      </c>
      <c r="B33" s="7">
        <v>0.91120000000000001</v>
      </c>
      <c r="C33" s="6">
        <v>19321</v>
      </c>
    </row>
    <row r="34" spans="1:3" x14ac:dyDescent="0.2">
      <c r="A34" s="5" t="s">
        <v>110</v>
      </c>
      <c r="B34" s="7">
        <v>0.88356666666666672</v>
      </c>
      <c r="C34" s="6">
        <v>19381.666666666668</v>
      </c>
    </row>
    <row r="35" spans="1:3" x14ac:dyDescent="0.2">
      <c r="A35" s="5" t="s">
        <v>99</v>
      </c>
      <c r="B35" s="7">
        <v>0.83579999999999999</v>
      </c>
      <c r="C35" s="6">
        <v>19414</v>
      </c>
    </row>
    <row r="36" spans="1:3" x14ac:dyDescent="0.2">
      <c r="A36" s="5" t="s">
        <v>121</v>
      </c>
      <c r="B36" s="7">
        <v>0.87239999999999995</v>
      </c>
      <c r="C36" s="6">
        <v>19455</v>
      </c>
    </row>
    <row r="37" spans="1:3" x14ac:dyDescent="0.2">
      <c r="A37" s="5" t="s">
        <v>87</v>
      </c>
      <c r="B37" s="7">
        <v>0.77980000000000005</v>
      </c>
      <c r="C37" s="6">
        <v>19475</v>
      </c>
    </row>
    <row r="38" spans="1:3" x14ac:dyDescent="0.2">
      <c r="A38" s="5" t="s">
        <v>114</v>
      </c>
      <c r="B38" s="7">
        <v>0.87019999999999997</v>
      </c>
      <c r="C38" s="6">
        <v>19546</v>
      </c>
    </row>
    <row r="39" spans="1:3" x14ac:dyDescent="0.2">
      <c r="A39" s="5" t="s">
        <v>132</v>
      </c>
      <c r="B39" s="7">
        <v>0.8851</v>
      </c>
      <c r="C39" s="6">
        <v>19575</v>
      </c>
    </row>
    <row r="40" spans="1:3" x14ac:dyDescent="0.2">
      <c r="A40" s="5" t="s">
        <v>122</v>
      </c>
      <c r="B40" s="7">
        <v>0.871</v>
      </c>
      <c r="C40" s="6">
        <v>19672</v>
      </c>
    </row>
    <row r="41" spans="1:3" x14ac:dyDescent="0.2">
      <c r="A41" s="5" t="s">
        <v>113</v>
      </c>
      <c r="B41" s="7">
        <v>0.88359999999999994</v>
      </c>
      <c r="C41" s="6">
        <v>19690.5</v>
      </c>
    </row>
    <row r="42" spans="1:3" x14ac:dyDescent="0.2">
      <c r="A42" s="5" t="s">
        <v>106</v>
      </c>
      <c r="B42" s="7">
        <v>0.92100000000000004</v>
      </c>
      <c r="C42" s="6">
        <v>19755</v>
      </c>
    </row>
    <row r="43" spans="1:3" x14ac:dyDescent="0.2">
      <c r="A43" s="5" t="s">
        <v>65</v>
      </c>
      <c r="B43" s="7">
        <v>0.86736666666666673</v>
      </c>
      <c r="C43" s="6">
        <v>20408.666666666668</v>
      </c>
    </row>
    <row r="44" spans="1:3" x14ac:dyDescent="0.2">
      <c r="A44" s="5" t="s">
        <v>115</v>
      </c>
      <c r="B44" s="7">
        <v>0.92110000000000003</v>
      </c>
      <c r="C44" s="6">
        <v>20412.5</v>
      </c>
    </row>
    <row r="45" spans="1:3" x14ac:dyDescent="0.2">
      <c r="A45" s="5" t="s">
        <v>107</v>
      </c>
      <c r="B45" s="7">
        <v>0.86639999999999995</v>
      </c>
      <c r="C45" s="6">
        <v>20647</v>
      </c>
    </row>
    <row r="46" spans="1:3" x14ac:dyDescent="0.2">
      <c r="A46" s="5" t="s">
        <v>68</v>
      </c>
      <c r="B46" s="7">
        <v>0.83955000000000002</v>
      </c>
      <c r="C46" s="6">
        <v>20669</v>
      </c>
    </row>
    <row r="47" spans="1:3" x14ac:dyDescent="0.2">
      <c r="A47" s="5" t="s">
        <v>98</v>
      </c>
      <c r="B47" s="7">
        <v>0.88970000000000005</v>
      </c>
      <c r="C47" s="6">
        <v>20784</v>
      </c>
    </row>
    <row r="48" spans="1:3" x14ac:dyDescent="0.2">
      <c r="A48" s="5" t="s">
        <v>112</v>
      </c>
      <c r="B48" s="7">
        <v>0.89149999999999996</v>
      </c>
      <c r="C48" s="6">
        <v>20823</v>
      </c>
    </row>
    <row r="49" spans="1:3" x14ac:dyDescent="0.2">
      <c r="A49" s="5" t="s">
        <v>101</v>
      </c>
      <c r="B49" s="7">
        <v>0.9083</v>
      </c>
      <c r="C49" s="6">
        <v>20931</v>
      </c>
    </row>
    <row r="50" spans="1:3" x14ac:dyDescent="0.2">
      <c r="A50" s="5" t="s">
        <v>100</v>
      </c>
      <c r="B50" s="7">
        <v>0.89190000000000003</v>
      </c>
      <c r="C50" s="6">
        <v>21015</v>
      </c>
    </row>
    <row r="51" spans="1:3" x14ac:dyDescent="0.2">
      <c r="A51" s="5" t="s">
        <v>120</v>
      </c>
      <c r="B51" s="7">
        <v>0.92500000000000004</v>
      </c>
      <c r="C51" s="6">
        <v>21031</v>
      </c>
    </row>
    <row r="52" spans="1:3" x14ac:dyDescent="0.2">
      <c r="A52" s="5" t="s">
        <v>116</v>
      </c>
      <c r="B52" s="7">
        <v>0.87519999999999998</v>
      </c>
      <c r="C52" s="6">
        <v>21061</v>
      </c>
    </row>
    <row r="53" spans="1:3" x14ac:dyDescent="0.2">
      <c r="A53" s="5" t="s">
        <v>69</v>
      </c>
      <c r="B53" s="7">
        <v>0.82509999999999994</v>
      </c>
      <c r="C53" s="6">
        <v>21070</v>
      </c>
    </row>
    <row r="54" spans="1:3" x14ac:dyDescent="0.2">
      <c r="A54" s="5" t="s">
        <v>82</v>
      </c>
      <c r="B54" s="7">
        <v>0.86550000000000005</v>
      </c>
      <c r="C54" s="6">
        <v>21078</v>
      </c>
    </row>
    <row r="55" spans="1:3" x14ac:dyDescent="0.2">
      <c r="A55" s="5" t="s">
        <v>97</v>
      </c>
      <c r="B55" s="7">
        <v>0.88024999999999998</v>
      </c>
      <c r="C55" s="6">
        <v>21118.5</v>
      </c>
    </row>
    <row r="56" spans="1:3" x14ac:dyDescent="0.2">
      <c r="A56" s="5" t="s">
        <v>109</v>
      </c>
      <c r="B56" s="7">
        <v>0.88660000000000005</v>
      </c>
      <c r="C56" s="6">
        <v>21261</v>
      </c>
    </row>
    <row r="57" spans="1:3" x14ac:dyDescent="0.2">
      <c r="A57" s="5" t="s">
        <v>54</v>
      </c>
      <c r="B57" s="7">
        <v>0.84875</v>
      </c>
      <c r="C57" s="6">
        <v>21263</v>
      </c>
    </row>
    <row r="58" spans="1:3" x14ac:dyDescent="0.2">
      <c r="A58" s="5" t="s">
        <v>104</v>
      </c>
      <c r="B58" s="7">
        <v>0.87219999999999998</v>
      </c>
      <c r="C58" s="6">
        <v>21359</v>
      </c>
    </row>
    <row r="59" spans="1:3" x14ac:dyDescent="0.2">
      <c r="A59" s="5" t="s">
        <v>105</v>
      </c>
      <c r="B59" s="7">
        <v>0.9073</v>
      </c>
      <c r="C59" s="6">
        <v>21565</v>
      </c>
    </row>
    <row r="60" spans="1:3" x14ac:dyDescent="0.2">
      <c r="A60" s="5" t="s">
        <v>93</v>
      </c>
      <c r="B60" s="7">
        <v>0.85414999999999996</v>
      </c>
      <c r="C60" s="6">
        <v>21574.5</v>
      </c>
    </row>
    <row r="61" spans="1:3" x14ac:dyDescent="0.2">
      <c r="A61" s="5" t="s">
        <v>111</v>
      </c>
      <c r="B61" s="7">
        <v>0.87639999999999996</v>
      </c>
      <c r="C61" s="6">
        <v>21639</v>
      </c>
    </row>
    <row r="62" spans="1:3" x14ac:dyDescent="0.2">
      <c r="A62" s="5" t="s">
        <v>58</v>
      </c>
      <c r="B62" s="7">
        <v>0.73684000000000005</v>
      </c>
      <c r="C62" s="6">
        <v>21676.400000000001</v>
      </c>
    </row>
    <row r="63" spans="1:3" x14ac:dyDescent="0.2">
      <c r="A63" s="5" t="s">
        <v>95</v>
      </c>
      <c r="B63" s="7">
        <v>0.87129999999999996</v>
      </c>
      <c r="C63" s="6">
        <v>21779.5</v>
      </c>
    </row>
    <row r="64" spans="1:3" x14ac:dyDescent="0.2">
      <c r="A64" s="5" t="s">
        <v>47</v>
      </c>
      <c r="B64" s="7">
        <v>0.79932499999999995</v>
      </c>
      <c r="C64" s="6">
        <v>21920.25</v>
      </c>
    </row>
    <row r="65" spans="1:3" x14ac:dyDescent="0.2">
      <c r="A65" s="5" t="s">
        <v>96</v>
      </c>
      <c r="B65" s="7">
        <v>0.86429999999999996</v>
      </c>
      <c r="C65" s="6">
        <v>22013</v>
      </c>
    </row>
    <row r="66" spans="1:3" x14ac:dyDescent="0.2">
      <c r="A66" s="5" t="s">
        <v>94</v>
      </c>
      <c r="B66" s="7">
        <v>0.83720000000000006</v>
      </c>
      <c r="C66" s="6">
        <v>22077</v>
      </c>
    </row>
    <row r="67" spans="1:3" x14ac:dyDescent="0.2">
      <c r="A67" s="5" t="s">
        <v>103</v>
      </c>
      <c r="B67" s="7">
        <v>0.87360000000000004</v>
      </c>
      <c r="C67" s="6">
        <v>22133</v>
      </c>
    </row>
    <row r="68" spans="1:3" x14ac:dyDescent="0.2">
      <c r="A68" s="5" t="s">
        <v>92</v>
      </c>
      <c r="B68" s="7">
        <v>0.87119999999999997</v>
      </c>
      <c r="C68" s="6">
        <v>22368</v>
      </c>
    </row>
    <row r="69" spans="1:3" x14ac:dyDescent="0.2">
      <c r="A69" s="5" t="s">
        <v>91</v>
      </c>
      <c r="B69" s="7">
        <v>0.86929999999999996</v>
      </c>
      <c r="C69" s="6">
        <v>22829</v>
      </c>
    </row>
    <row r="70" spans="1:3" x14ac:dyDescent="0.2">
      <c r="A70" s="5" t="s">
        <v>88</v>
      </c>
      <c r="B70" s="7">
        <v>0.89170000000000005</v>
      </c>
      <c r="C70" s="6">
        <v>23051</v>
      </c>
    </row>
    <row r="71" spans="1:3" x14ac:dyDescent="0.2">
      <c r="A71" s="5" t="s">
        <v>76</v>
      </c>
      <c r="B71" s="7">
        <v>0.7359</v>
      </c>
      <c r="C71" s="6">
        <v>23163</v>
      </c>
    </row>
    <row r="72" spans="1:3" x14ac:dyDescent="0.2">
      <c r="A72" s="5" t="s">
        <v>83</v>
      </c>
      <c r="B72" s="7">
        <v>0.86380000000000001</v>
      </c>
      <c r="C72" s="6">
        <v>23197</v>
      </c>
    </row>
    <row r="73" spans="1:3" x14ac:dyDescent="0.2">
      <c r="A73" s="5" t="s">
        <v>81</v>
      </c>
      <c r="B73" s="7">
        <v>0.84530000000000005</v>
      </c>
      <c r="C73" s="6">
        <v>23244</v>
      </c>
    </row>
    <row r="74" spans="1:3" x14ac:dyDescent="0.2">
      <c r="A74" s="5" t="s">
        <v>57</v>
      </c>
      <c r="B74" s="7">
        <v>0.76040000000000008</v>
      </c>
      <c r="C74" s="6">
        <v>23483.333333333332</v>
      </c>
    </row>
    <row r="75" spans="1:3" x14ac:dyDescent="0.2">
      <c r="A75" s="5" t="s">
        <v>89</v>
      </c>
      <c r="B75" s="7">
        <v>0.87839999999999996</v>
      </c>
      <c r="C75" s="6">
        <v>23512</v>
      </c>
    </row>
    <row r="76" spans="1:3" x14ac:dyDescent="0.2">
      <c r="A76" s="5" t="s">
        <v>84</v>
      </c>
      <c r="B76" s="7">
        <v>0.85040000000000004</v>
      </c>
      <c r="C76" s="6">
        <v>23958</v>
      </c>
    </row>
    <row r="77" spans="1:3" x14ac:dyDescent="0.2">
      <c r="A77" s="5" t="s">
        <v>62</v>
      </c>
      <c r="B77" s="7">
        <v>0.86862499999999998</v>
      </c>
      <c r="C77" s="6">
        <v>23989.25</v>
      </c>
    </row>
    <row r="78" spans="1:3" x14ac:dyDescent="0.2">
      <c r="A78" s="5" t="s">
        <v>60</v>
      </c>
      <c r="B78" s="7">
        <v>0.78580000000000005</v>
      </c>
      <c r="C78" s="6">
        <v>24042</v>
      </c>
    </row>
    <row r="79" spans="1:3" x14ac:dyDescent="0.2">
      <c r="A79" s="5" t="s">
        <v>66</v>
      </c>
      <c r="B79" s="7">
        <v>0.84887500000000005</v>
      </c>
      <c r="C79" s="6">
        <v>24045.75</v>
      </c>
    </row>
    <row r="80" spans="1:3" x14ac:dyDescent="0.2">
      <c r="A80" s="5" t="s">
        <v>80</v>
      </c>
      <c r="B80" s="7">
        <v>0.84340000000000004</v>
      </c>
      <c r="C80" s="6">
        <v>24058</v>
      </c>
    </row>
    <row r="81" spans="1:3" x14ac:dyDescent="0.2">
      <c r="A81" s="5" t="s">
        <v>79</v>
      </c>
      <c r="B81" s="7">
        <v>0.86724999999999997</v>
      </c>
      <c r="C81" s="6">
        <v>24207.5</v>
      </c>
    </row>
    <row r="82" spans="1:3" x14ac:dyDescent="0.2">
      <c r="A82" s="5" t="s">
        <v>56</v>
      </c>
      <c r="B82" s="7">
        <v>0.81284999999999996</v>
      </c>
      <c r="C82" s="6">
        <v>24395</v>
      </c>
    </row>
    <row r="83" spans="1:3" x14ac:dyDescent="0.2">
      <c r="A83" s="5" t="s">
        <v>85</v>
      </c>
      <c r="B83" s="7">
        <v>0.85819999999999996</v>
      </c>
      <c r="C83" s="6">
        <v>24478</v>
      </c>
    </row>
    <row r="84" spans="1:3" x14ac:dyDescent="0.2">
      <c r="A84" s="5" t="s">
        <v>77</v>
      </c>
      <c r="B84" s="7">
        <v>0.88429999999999997</v>
      </c>
      <c r="C84" s="6">
        <v>24832</v>
      </c>
    </row>
    <row r="85" spans="1:3" x14ac:dyDescent="0.2">
      <c r="A85" s="5" t="s">
        <v>75</v>
      </c>
      <c r="B85" s="7">
        <v>0.82679999999999998</v>
      </c>
      <c r="C85" s="6">
        <v>25372</v>
      </c>
    </row>
    <row r="86" spans="1:3" x14ac:dyDescent="0.2">
      <c r="A86" s="5" t="s">
        <v>39</v>
      </c>
      <c r="B86" s="7">
        <v>0.77566666666666662</v>
      </c>
      <c r="C86" s="6">
        <v>25373</v>
      </c>
    </row>
    <row r="87" spans="1:3" x14ac:dyDescent="0.2">
      <c r="A87" s="5" t="s">
        <v>59</v>
      </c>
      <c r="B87" s="7">
        <v>0.78369999999999995</v>
      </c>
      <c r="C87" s="6">
        <v>25508</v>
      </c>
    </row>
    <row r="88" spans="1:3" x14ac:dyDescent="0.2">
      <c r="A88" s="5" t="s">
        <v>52</v>
      </c>
      <c r="B88" s="7">
        <v>0.79300000000000004</v>
      </c>
      <c r="C88" s="6">
        <v>25520</v>
      </c>
    </row>
    <row r="89" spans="1:3" x14ac:dyDescent="0.2">
      <c r="A89" s="5" t="s">
        <v>63</v>
      </c>
      <c r="B89" s="7">
        <v>0.83213333333333328</v>
      </c>
      <c r="C89" s="6">
        <v>25667.333333333332</v>
      </c>
    </row>
    <row r="90" spans="1:3" x14ac:dyDescent="0.2">
      <c r="A90" s="5" t="s">
        <v>42</v>
      </c>
      <c r="B90" s="7">
        <v>0.67120000000000002</v>
      </c>
      <c r="C90" s="6">
        <v>25872</v>
      </c>
    </row>
    <row r="91" spans="1:3" x14ac:dyDescent="0.2">
      <c r="A91" s="5" t="s">
        <v>73</v>
      </c>
      <c r="B91" s="7">
        <v>0.86850000000000005</v>
      </c>
      <c r="C91" s="6">
        <v>26218</v>
      </c>
    </row>
    <row r="92" spans="1:3" x14ac:dyDescent="0.2">
      <c r="A92" s="5" t="s">
        <v>74</v>
      </c>
      <c r="B92" s="7">
        <v>0.86150000000000004</v>
      </c>
      <c r="C92" s="6">
        <v>26246</v>
      </c>
    </row>
    <row r="93" spans="1:3" x14ac:dyDescent="0.2">
      <c r="A93" s="5" t="s">
        <v>51</v>
      </c>
      <c r="B93" s="7">
        <v>0.81153333333333333</v>
      </c>
      <c r="C93" s="6">
        <v>26292.833333333332</v>
      </c>
    </row>
    <row r="94" spans="1:3" x14ac:dyDescent="0.2">
      <c r="A94" s="5" t="s">
        <v>36</v>
      </c>
      <c r="B94" s="7">
        <v>0.81576666666666664</v>
      </c>
      <c r="C94" s="6">
        <v>26306.666666666668</v>
      </c>
    </row>
    <row r="95" spans="1:3" x14ac:dyDescent="0.2">
      <c r="A95" s="5" t="s">
        <v>72</v>
      </c>
      <c r="B95" s="7">
        <v>0.84540000000000004</v>
      </c>
      <c r="C95" s="6">
        <v>26312</v>
      </c>
    </row>
    <row r="96" spans="1:3" x14ac:dyDescent="0.2">
      <c r="A96" s="5" t="s">
        <v>78</v>
      </c>
      <c r="B96" s="7">
        <v>0.86799999999999999</v>
      </c>
      <c r="C96" s="6">
        <v>26666</v>
      </c>
    </row>
    <row r="97" spans="1:3" x14ac:dyDescent="0.2">
      <c r="A97" s="5" t="s">
        <v>48</v>
      </c>
      <c r="B97" s="7">
        <v>0.81899999999999995</v>
      </c>
      <c r="C97" s="6">
        <v>26814</v>
      </c>
    </row>
    <row r="98" spans="1:3" x14ac:dyDescent="0.2">
      <c r="A98" s="5" t="s">
        <v>38</v>
      </c>
      <c r="B98" s="7">
        <v>0.69805000000000006</v>
      </c>
      <c r="C98" s="6">
        <v>26839</v>
      </c>
    </row>
    <row r="99" spans="1:3" x14ac:dyDescent="0.2">
      <c r="A99" s="5" t="s">
        <v>67</v>
      </c>
      <c r="B99" s="7">
        <v>0.8105</v>
      </c>
      <c r="C99" s="6">
        <v>26856</v>
      </c>
    </row>
    <row r="100" spans="1:3" x14ac:dyDescent="0.2">
      <c r="A100" s="5" t="s">
        <v>70</v>
      </c>
      <c r="B100" s="7">
        <v>0.84740000000000004</v>
      </c>
      <c r="C100" s="6">
        <v>26874</v>
      </c>
    </row>
    <row r="101" spans="1:3" x14ac:dyDescent="0.2">
      <c r="A101" s="5" t="s">
        <v>71</v>
      </c>
      <c r="B101" s="7">
        <v>0.82989999999999997</v>
      </c>
      <c r="C101" s="6">
        <v>27017</v>
      </c>
    </row>
    <row r="102" spans="1:3" x14ac:dyDescent="0.2">
      <c r="A102" s="5" t="s">
        <v>45</v>
      </c>
      <c r="B102" s="7">
        <v>0.84699999999999998</v>
      </c>
      <c r="C102" s="6">
        <v>27057</v>
      </c>
    </row>
    <row r="103" spans="1:3" x14ac:dyDescent="0.2">
      <c r="A103" s="5" t="s">
        <v>53</v>
      </c>
      <c r="B103" s="7">
        <v>0.82569999999999999</v>
      </c>
      <c r="C103" s="6">
        <v>27213</v>
      </c>
    </row>
    <row r="104" spans="1:3" x14ac:dyDescent="0.2">
      <c r="A104" s="5" t="s">
        <v>61</v>
      </c>
      <c r="B104" s="7">
        <v>0.81540000000000001</v>
      </c>
      <c r="C104" s="6">
        <v>27612</v>
      </c>
    </row>
    <row r="105" spans="1:3" x14ac:dyDescent="0.2">
      <c r="A105" s="5" t="s">
        <v>27</v>
      </c>
      <c r="B105" s="7">
        <v>0.75004999999999999</v>
      </c>
      <c r="C105" s="6">
        <v>27766.75</v>
      </c>
    </row>
    <row r="106" spans="1:3" x14ac:dyDescent="0.2">
      <c r="A106" s="5" t="s">
        <v>31</v>
      </c>
      <c r="B106" s="7">
        <v>0.74180000000000001</v>
      </c>
      <c r="C106" s="6">
        <v>28314</v>
      </c>
    </row>
    <row r="107" spans="1:3" x14ac:dyDescent="0.2">
      <c r="A107" s="5" t="s">
        <v>64</v>
      </c>
      <c r="B107" s="7">
        <v>0.84660000000000002</v>
      </c>
      <c r="C107" s="6">
        <v>28407</v>
      </c>
    </row>
    <row r="108" spans="1:3" x14ac:dyDescent="0.2">
      <c r="A108" s="5" t="s">
        <v>29</v>
      </c>
      <c r="B108" s="7">
        <v>0.75849999999999995</v>
      </c>
      <c r="C108" s="6">
        <v>28528</v>
      </c>
    </row>
    <row r="109" spans="1:3" x14ac:dyDescent="0.2">
      <c r="A109" s="5" t="s">
        <v>44</v>
      </c>
      <c r="B109" s="7">
        <v>0.69399999999999995</v>
      </c>
      <c r="C109" s="6">
        <v>28926</v>
      </c>
    </row>
    <row r="110" spans="1:3" x14ac:dyDescent="0.2">
      <c r="A110" s="5" t="s">
        <v>35</v>
      </c>
      <c r="B110" s="7">
        <v>0.72629999999999995</v>
      </c>
      <c r="C110" s="6">
        <v>28958</v>
      </c>
    </row>
    <row r="111" spans="1:3" x14ac:dyDescent="0.2">
      <c r="A111" s="5" t="s">
        <v>49</v>
      </c>
      <c r="B111" s="7">
        <v>0.75849999999999995</v>
      </c>
      <c r="C111" s="6">
        <v>29004</v>
      </c>
    </row>
    <row r="112" spans="1:3" x14ac:dyDescent="0.2">
      <c r="A112" s="5" t="s">
        <v>19</v>
      </c>
      <c r="B112" s="7">
        <v>0.7591</v>
      </c>
      <c r="C112" s="6">
        <v>29078.5</v>
      </c>
    </row>
    <row r="113" spans="1:3" x14ac:dyDescent="0.2">
      <c r="A113" s="5" t="s">
        <v>41</v>
      </c>
      <c r="B113" s="7">
        <v>0.7722</v>
      </c>
      <c r="C113" s="6">
        <v>29668.5</v>
      </c>
    </row>
    <row r="114" spans="1:3" x14ac:dyDescent="0.2">
      <c r="A114" s="5" t="s">
        <v>28</v>
      </c>
      <c r="B114" s="7">
        <v>0.79464999999999997</v>
      </c>
      <c r="C114" s="6">
        <v>29702</v>
      </c>
    </row>
    <row r="115" spans="1:3" x14ac:dyDescent="0.2">
      <c r="A115" s="5" t="s">
        <v>34</v>
      </c>
      <c r="B115" s="7">
        <v>0.78359999999999996</v>
      </c>
      <c r="C115" s="6">
        <v>30012</v>
      </c>
    </row>
    <row r="116" spans="1:3" x14ac:dyDescent="0.2">
      <c r="A116" s="5" t="s">
        <v>30</v>
      </c>
      <c r="B116" s="7">
        <v>0.70240000000000002</v>
      </c>
      <c r="C116" s="6">
        <v>30017</v>
      </c>
    </row>
    <row r="117" spans="1:3" x14ac:dyDescent="0.2">
      <c r="A117" s="5" t="s">
        <v>43</v>
      </c>
      <c r="B117" s="7">
        <v>0.77700000000000002</v>
      </c>
      <c r="C117" s="6">
        <v>30115</v>
      </c>
    </row>
    <row r="118" spans="1:3" x14ac:dyDescent="0.2">
      <c r="A118" s="5" t="s">
        <v>14</v>
      </c>
      <c r="B118" s="7">
        <v>0.54649999999999999</v>
      </c>
      <c r="C118" s="6">
        <v>30136</v>
      </c>
    </row>
    <row r="119" spans="1:3" x14ac:dyDescent="0.2">
      <c r="A119" s="5" t="s">
        <v>32</v>
      </c>
      <c r="B119" s="7">
        <v>0.77665000000000006</v>
      </c>
      <c r="C119" s="6">
        <v>30995</v>
      </c>
    </row>
    <row r="120" spans="1:3" x14ac:dyDescent="0.2">
      <c r="A120" s="5" t="s">
        <v>24</v>
      </c>
      <c r="B120" s="7">
        <v>0.75760000000000005</v>
      </c>
      <c r="C120" s="6">
        <v>31089</v>
      </c>
    </row>
    <row r="121" spans="1:3" x14ac:dyDescent="0.2">
      <c r="A121" s="5" t="s">
        <v>23</v>
      </c>
      <c r="B121" s="7">
        <v>0.58440000000000003</v>
      </c>
      <c r="C121" s="6">
        <v>32277</v>
      </c>
    </row>
    <row r="122" spans="1:3" x14ac:dyDescent="0.2">
      <c r="A122" s="5" t="s">
        <v>20</v>
      </c>
      <c r="B122" s="7">
        <v>0.74875000000000003</v>
      </c>
      <c r="C122" s="6">
        <v>33100</v>
      </c>
    </row>
    <row r="123" spans="1:3" x14ac:dyDescent="0.2">
      <c r="A123" s="5" t="s">
        <v>25</v>
      </c>
      <c r="B123" s="7">
        <v>0.60899999999999999</v>
      </c>
      <c r="C123" s="6">
        <v>35185</v>
      </c>
    </row>
    <row r="124" spans="1:3" x14ac:dyDescent="0.2">
      <c r="A124" s="5" t="s">
        <v>40</v>
      </c>
      <c r="B124" s="7">
        <v>0.67200000000000004</v>
      </c>
      <c r="C124" s="6">
        <v>35573</v>
      </c>
    </row>
    <row r="125" spans="1:3" x14ac:dyDescent="0.2">
      <c r="A125" s="5" t="s">
        <v>10</v>
      </c>
      <c r="B125" s="7">
        <v>0.37590000000000001</v>
      </c>
      <c r="C125" s="6">
        <v>37888</v>
      </c>
    </row>
    <row r="126" spans="1:3" x14ac:dyDescent="0.2">
      <c r="A126" s="5" t="s">
        <v>15</v>
      </c>
      <c r="B126" s="7">
        <v>0.5665</v>
      </c>
      <c r="C126" s="6">
        <v>39150</v>
      </c>
    </row>
    <row r="127" spans="1:3" x14ac:dyDescent="0.2">
      <c r="A127" s="5" t="s">
        <v>8</v>
      </c>
      <c r="B127" s="7">
        <v>0.51659999999999995</v>
      </c>
      <c r="C127" s="6">
        <v>42081</v>
      </c>
    </row>
    <row r="128" spans="1:3" x14ac:dyDescent="0.2">
      <c r="A128" s="5" t="s">
        <v>7</v>
      </c>
      <c r="B128" s="7">
        <v>0.4153</v>
      </c>
      <c r="C128" s="6">
        <v>42781</v>
      </c>
    </row>
    <row r="129" spans="1:3" x14ac:dyDescent="0.2">
      <c r="A129" s="5" t="s">
        <v>11</v>
      </c>
      <c r="B129" s="7">
        <v>0.47139999999999999</v>
      </c>
      <c r="C129" s="6">
        <v>43386</v>
      </c>
    </row>
    <row r="130" spans="1:3" x14ac:dyDescent="0.2">
      <c r="A130" s="5" t="s">
        <v>5</v>
      </c>
      <c r="B130" s="7">
        <v>0.43419999999999997</v>
      </c>
      <c r="C130" s="6">
        <v>43522</v>
      </c>
    </row>
    <row r="131" spans="1:3" x14ac:dyDescent="0.2">
      <c r="A131" s="5" t="s">
        <v>6</v>
      </c>
      <c r="B131" s="7">
        <v>0.41120000000000001</v>
      </c>
      <c r="C131" s="6">
        <v>46558</v>
      </c>
    </row>
    <row r="132" spans="1:3" x14ac:dyDescent="0.2">
      <c r="A132" s="5" t="s">
        <v>379</v>
      </c>
      <c r="B132" s="7">
        <v>0.81978947368421029</v>
      </c>
      <c r="C132" s="6">
        <v>23666.515789473684</v>
      </c>
    </row>
    <row r="134" spans="1:3" x14ac:dyDescent="0.2">
      <c r="A134" s="11" t="s">
        <v>382</v>
      </c>
      <c r="B134" s="10">
        <f>CORREL(B2:B131,C2:C131)</f>
        <v>-0.85645568483971724</v>
      </c>
    </row>
    <row r="135" spans="1:3" x14ac:dyDescent="0.2">
      <c r="B135" s="9"/>
    </row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628F61-F30E-574F-A569-9D3BE1B3220B}">
  <dimension ref="A1:G149"/>
  <sheetViews>
    <sheetView topLeftCell="A29" workbookViewId="0">
      <selection activeCell="F3" sqref="F3:G4"/>
    </sheetView>
  </sheetViews>
  <sheetFormatPr baseColWidth="10" defaultRowHeight="16" x14ac:dyDescent="0.2"/>
  <cols>
    <col min="1" max="1" width="17.33203125" customWidth="1"/>
    <col min="2" max="2" width="39" customWidth="1"/>
    <col min="3" max="3" width="53.1640625" customWidth="1"/>
    <col min="4" max="4" width="17.1640625" customWidth="1"/>
    <col min="6" max="6" width="16" customWidth="1"/>
  </cols>
  <sheetData>
    <row r="1" spans="1:7" x14ac:dyDescent="0.2">
      <c r="A1" t="s">
        <v>378</v>
      </c>
      <c r="B1" t="s">
        <v>1</v>
      </c>
      <c r="C1" t="s">
        <v>151</v>
      </c>
      <c r="D1" t="s">
        <v>377</v>
      </c>
    </row>
    <row r="2" spans="1:7" x14ac:dyDescent="0.2">
      <c r="A2">
        <v>42101000600</v>
      </c>
      <c r="B2" t="s">
        <v>235</v>
      </c>
      <c r="C2" s="7">
        <v>0.52490000000000003</v>
      </c>
      <c r="D2">
        <v>27965</v>
      </c>
    </row>
    <row r="3" spans="1:7" x14ac:dyDescent="0.2">
      <c r="A3">
        <v>42101004002</v>
      </c>
      <c r="B3" t="s">
        <v>253</v>
      </c>
      <c r="C3" s="7">
        <v>0.89429999999999998</v>
      </c>
      <c r="D3">
        <v>27997</v>
      </c>
      <c r="F3" s="14" t="s">
        <v>386</v>
      </c>
      <c r="G3" s="13">
        <f>AVERAGE(C2:C149)</f>
        <v>0.76092094594594617</v>
      </c>
    </row>
    <row r="4" spans="1:7" x14ac:dyDescent="0.2">
      <c r="A4">
        <v>42101038900</v>
      </c>
      <c r="B4" t="s">
        <v>158</v>
      </c>
      <c r="C4" s="7">
        <v>0.81689999999999996</v>
      </c>
      <c r="D4">
        <v>28018</v>
      </c>
      <c r="F4" s="14" t="s">
        <v>387</v>
      </c>
      <c r="G4" s="12">
        <f>AVERAGE(D2:D149)</f>
        <v>33886.62837837838</v>
      </c>
    </row>
    <row r="5" spans="1:7" x14ac:dyDescent="0.2">
      <c r="A5">
        <v>42101026200</v>
      </c>
      <c r="B5" t="s">
        <v>166</v>
      </c>
      <c r="C5" s="7">
        <v>0.84719999999999995</v>
      </c>
      <c r="D5">
        <v>28096</v>
      </c>
    </row>
    <row r="6" spans="1:7" x14ac:dyDescent="0.2">
      <c r="A6">
        <v>42101029000</v>
      </c>
      <c r="B6" t="s">
        <v>166</v>
      </c>
      <c r="C6" s="7">
        <v>0.7843</v>
      </c>
      <c r="D6">
        <v>28170</v>
      </c>
    </row>
    <row r="7" spans="1:7" x14ac:dyDescent="0.2">
      <c r="A7">
        <v>42101032500</v>
      </c>
      <c r="B7" t="s">
        <v>155</v>
      </c>
      <c r="C7" s="7">
        <v>0.86319999999999997</v>
      </c>
      <c r="D7">
        <v>28277</v>
      </c>
    </row>
    <row r="8" spans="1:7" x14ac:dyDescent="0.2">
      <c r="A8">
        <v>42101032300</v>
      </c>
      <c r="B8" t="s">
        <v>155</v>
      </c>
      <c r="C8" s="7">
        <v>0.86919999999999997</v>
      </c>
      <c r="D8">
        <v>28294</v>
      </c>
    </row>
    <row r="9" spans="1:7" x14ac:dyDescent="0.2">
      <c r="A9">
        <v>42101005500</v>
      </c>
      <c r="B9" t="s">
        <v>157</v>
      </c>
      <c r="C9" s="7">
        <v>0.78710000000000002</v>
      </c>
      <c r="D9">
        <v>28296</v>
      </c>
    </row>
    <row r="10" spans="1:7" x14ac:dyDescent="0.2">
      <c r="A10">
        <v>42101031200</v>
      </c>
      <c r="B10" t="s">
        <v>249</v>
      </c>
      <c r="C10" s="7">
        <v>0.80589999999999995</v>
      </c>
      <c r="D10">
        <v>28450</v>
      </c>
    </row>
    <row r="11" spans="1:7" x14ac:dyDescent="0.2">
      <c r="A11">
        <v>42101018001</v>
      </c>
      <c r="B11" t="s">
        <v>166</v>
      </c>
      <c r="C11" s="7">
        <v>0.84050000000000002</v>
      </c>
      <c r="D11">
        <v>28492</v>
      </c>
    </row>
    <row r="12" spans="1:7" x14ac:dyDescent="0.2">
      <c r="A12">
        <v>42101004201</v>
      </c>
      <c r="B12" t="s">
        <v>156</v>
      </c>
      <c r="C12" s="7">
        <v>0.89300000000000002</v>
      </c>
      <c r="D12">
        <v>28518</v>
      </c>
    </row>
    <row r="13" spans="1:7" x14ac:dyDescent="0.2">
      <c r="A13">
        <v>42101005000</v>
      </c>
      <c r="B13" t="s">
        <v>251</v>
      </c>
      <c r="C13" s="7">
        <v>0.51319999999999999</v>
      </c>
      <c r="D13">
        <v>28553</v>
      </c>
    </row>
    <row r="14" spans="1:7" x14ac:dyDescent="0.2">
      <c r="A14">
        <v>42101019000</v>
      </c>
      <c r="B14" t="s">
        <v>166</v>
      </c>
      <c r="C14" s="7">
        <v>0.86339999999999995</v>
      </c>
      <c r="D14">
        <v>28596</v>
      </c>
    </row>
    <row r="15" spans="1:7" x14ac:dyDescent="0.2">
      <c r="A15">
        <v>42101029100</v>
      </c>
      <c r="B15" t="s">
        <v>238</v>
      </c>
      <c r="C15" s="7">
        <v>0.78390000000000004</v>
      </c>
      <c r="D15">
        <v>28683</v>
      </c>
    </row>
    <row r="16" spans="1:7" x14ac:dyDescent="0.2">
      <c r="A16">
        <v>42101009802</v>
      </c>
      <c r="B16" t="s">
        <v>214</v>
      </c>
      <c r="C16" s="7">
        <v>0.77569999999999995</v>
      </c>
      <c r="D16">
        <v>28690</v>
      </c>
    </row>
    <row r="17" spans="1:4" x14ac:dyDescent="0.2">
      <c r="A17">
        <v>42101014300</v>
      </c>
      <c r="B17" t="s">
        <v>244</v>
      </c>
      <c r="C17" s="7">
        <v>0.82509999999999994</v>
      </c>
      <c r="D17">
        <v>28717</v>
      </c>
    </row>
    <row r="18" spans="1:4" x14ac:dyDescent="0.2">
      <c r="A18">
        <v>42101030100</v>
      </c>
      <c r="B18" t="s">
        <v>218</v>
      </c>
      <c r="C18" s="7">
        <v>0.83819999999999995</v>
      </c>
      <c r="D18">
        <v>28724</v>
      </c>
    </row>
    <row r="19" spans="1:4" x14ac:dyDescent="0.2">
      <c r="A19">
        <v>42101031800</v>
      </c>
      <c r="B19" t="s">
        <v>249</v>
      </c>
      <c r="C19" s="7">
        <v>0.87160000000000004</v>
      </c>
      <c r="D19">
        <v>28725</v>
      </c>
    </row>
    <row r="20" spans="1:4" x14ac:dyDescent="0.2">
      <c r="A20">
        <v>42101027300</v>
      </c>
      <c r="B20" t="s">
        <v>166</v>
      </c>
      <c r="C20" s="7">
        <v>0.8004</v>
      </c>
      <c r="D20">
        <v>28765</v>
      </c>
    </row>
    <row r="21" spans="1:4" x14ac:dyDescent="0.2">
      <c r="A21">
        <v>42101002300</v>
      </c>
      <c r="B21" t="s">
        <v>246</v>
      </c>
      <c r="C21" s="7">
        <v>0.83179999999999998</v>
      </c>
      <c r="D21">
        <v>28786</v>
      </c>
    </row>
    <row r="22" spans="1:4" x14ac:dyDescent="0.2">
      <c r="A22">
        <v>42101000901</v>
      </c>
      <c r="B22" t="s">
        <v>235</v>
      </c>
      <c r="C22" s="7">
        <v>0.62539999999999996</v>
      </c>
      <c r="D22">
        <v>28935</v>
      </c>
    </row>
    <row r="23" spans="1:4" x14ac:dyDescent="0.2">
      <c r="A23">
        <v>42101025400</v>
      </c>
      <c r="B23" t="s">
        <v>217</v>
      </c>
      <c r="C23" s="7">
        <v>0.75170000000000003</v>
      </c>
      <c r="D23">
        <v>29029</v>
      </c>
    </row>
    <row r="24" spans="1:4" x14ac:dyDescent="0.2">
      <c r="A24">
        <v>42101027401</v>
      </c>
      <c r="B24" t="s">
        <v>166</v>
      </c>
      <c r="C24" s="7">
        <v>0.80869999999999997</v>
      </c>
      <c r="D24">
        <v>29063</v>
      </c>
    </row>
    <row r="25" spans="1:4" x14ac:dyDescent="0.2">
      <c r="A25">
        <v>42101031900</v>
      </c>
      <c r="B25" t="s">
        <v>155</v>
      </c>
      <c r="C25" s="7">
        <v>0.86929999999999996</v>
      </c>
      <c r="D25">
        <v>29159</v>
      </c>
    </row>
    <row r="26" spans="1:4" x14ac:dyDescent="0.2">
      <c r="A26">
        <v>42101030900</v>
      </c>
      <c r="B26" t="s">
        <v>249</v>
      </c>
      <c r="C26" s="7">
        <v>0.82989999999999997</v>
      </c>
      <c r="D26">
        <v>29257</v>
      </c>
    </row>
    <row r="27" spans="1:4" x14ac:dyDescent="0.2">
      <c r="A27">
        <v>42101005400</v>
      </c>
      <c r="B27" t="s">
        <v>157</v>
      </c>
      <c r="C27" s="7">
        <v>0.76670000000000005</v>
      </c>
      <c r="D27">
        <v>29309</v>
      </c>
    </row>
    <row r="28" spans="1:4" x14ac:dyDescent="0.2">
      <c r="A28">
        <v>42101000100</v>
      </c>
      <c r="B28" t="s">
        <v>235</v>
      </c>
      <c r="C28" s="7">
        <v>0.56610000000000005</v>
      </c>
      <c r="D28">
        <v>29311</v>
      </c>
    </row>
    <row r="29" spans="1:4" x14ac:dyDescent="0.2">
      <c r="A29">
        <v>42101003001</v>
      </c>
      <c r="B29" t="s">
        <v>201</v>
      </c>
      <c r="C29" s="7">
        <v>0.82940000000000003</v>
      </c>
      <c r="D29">
        <v>29428</v>
      </c>
    </row>
    <row r="30" spans="1:4" x14ac:dyDescent="0.2">
      <c r="A30">
        <v>42101006000</v>
      </c>
      <c r="B30" t="s">
        <v>159</v>
      </c>
      <c r="C30" s="7">
        <v>0.8246</v>
      </c>
      <c r="D30">
        <v>29525</v>
      </c>
    </row>
    <row r="31" spans="1:4" x14ac:dyDescent="0.2">
      <c r="A31">
        <v>42101021400</v>
      </c>
      <c r="B31" t="s">
        <v>255</v>
      </c>
      <c r="C31" s="7">
        <v>0.8054</v>
      </c>
      <c r="D31">
        <v>29711</v>
      </c>
    </row>
    <row r="32" spans="1:4" x14ac:dyDescent="0.2">
      <c r="A32">
        <v>42101031300</v>
      </c>
      <c r="B32" t="s">
        <v>249</v>
      </c>
      <c r="C32" s="7">
        <v>0.79339999999999999</v>
      </c>
      <c r="D32">
        <v>29733</v>
      </c>
    </row>
    <row r="33" spans="1:4" x14ac:dyDescent="0.2">
      <c r="A33">
        <v>42101027100</v>
      </c>
      <c r="B33" t="s">
        <v>166</v>
      </c>
      <c r="C33" s="7">
        <v>0.78120000000000001</v>
      </c>
      <c r="D33">
        <v>29741</v>
      </c>
    </row>
    <row r="34" spans="1:4" x14ac:dyDescent="0.2">
      <c r="A34">
        <v>42101032900</v>
      </c>
      <c r="B34" t="s">
        <v>154</v>
      </c>
      <c r="C34" s="7">
        <v>0.83069999999999999</v>
      </c>
      <c r="D34">
        <v>29751</v>
      </c>
    </row>
    <row r="35" spans="1:4" x14ac:dyDescent="0.2">
      <c r="A35">
        <v>42101026100</v>
      </c>
      <c r="B35" t="s">
        <v>166</v>
      </c>
      <c r="C35" s="7">
        <v>0.8044</v>
      </c>
      <c r="D35">
        <v>29920</v>
      </c>
    </row>
    <row r="36" spans="1:4" x14ac:dyDescent="0.2">
      <c r="A36">
        <v>42101030501</v>
      </c>
      <c r="B36" t="s">
        <v>238</v>
      </c>
      <c r="C36" s="7">
        <v>0.83679999999999999</v>
      </c>
      <c r="D36">
        <v>29975</v>
      </c>
    </row>
    <row r="37" spans="1:4" x14ac:dyDescent="0.2">
      <c r="A37">
        <v>42101012204</v>
      </c>
      <c r="B37" t="s">
        <v>153</v>
      </c>
      <c r="C37" s="7">
        <v>0.67549999999999999</v>
      </c>
      <c r="D37">
        <v>30163</v>
      </c>
    </row>
    <row r="38" spans="1:4" x14ac:dyDescent="0.2">
      <c r="A38">
        <v>42101037200</v>
      </c>
      <c r="B38" t="s">
        <v>156</v>
      </c>
      <c r="C38" s="7">
        <v>0.83950000000000002</v>
      </c>
      <c r="D38">
        <v>30197</v>
      </c>
    </row>
    <row r="39" spans="1:4" x14ac:dyDescent="0.2">
      <c r="A39">
        <v>42101004001</v>
      </c>
      <c r="B39" t="s">
        <v>253</v>
      </c>
      <c r="C39" s="7">
        <v>0.87980000000000003</v>
      </c>
      <c r="D39">
        <v>30321</v>
      </c>
    </row>
    <row r="40" spans="1:4" x14ac:dyDescent="0.2">
      <c r="A40">
        <v>42101035100</v>
      </c>
      <c r="B40" t="s">
        <v>155</v>
      </c>
      <c r="C40" s="7">
        <v>0.78939999999999999</v>
      </c>
      <c r="D40">
        <v>30379</v>
      </c>
    </row>
    <row r="41" spans="1:4" x14ac:dyDescent="0.2">
      <c r="A41">
        <v>42101031401</v>
      </c>
      <c r="B41" t="s">
        <v>249</v>
      </c>
      <c r="C41" s="7">
        <v>0.80720000000000003</v>
      </c>
      <c r="D41">
        <v>30620</v>
      </c>
    </row>
    <row r="42" spans="1:4" x14ac:dyDescent="0.2">
      <c r="A42">
        <v>42101033000</v>
      </c>
      <c r="B42" t="s">
        <v>154</v>
      </c>
      <c r="C42" s="7">
        <v>0.88590000000000002</v>
      </c>
      <c r="D42">
        <v>30640</v>
      </c>
    </row>
    <row r="43" spans="1:4" x14ac:dyDescent="0.2">
      <c r="A43">
        <v>42101030200</v>
      </c>
      <c r="B43" t="s">
        <v>218</v>
      </c>
      <c r="C43" s="7">
        <v>0.80659999999999998</v>
      </c>
      <c r="D43">
        <v>30653</v>
      </c>
    </row>
    <row r="44" spans="1:4" x14ac:dyDescent="0.2">
      <c r="A44">
        <v>42101031101</v>
      </c>
      <c r="B44" t="s">
        <v>249</v>
      </c>
      <c r="C44" s="7">
        <v>0.79449999999999998</v>
      </c>
      <c r="D44">
        <v>30901</v>
      </c>
    </row>
    <row r="45" spans="1:4" x14ac:dyDescent="0.2">
      <c r="A45">
        <v>42101012100</v>
      </c>
      <c r="B45" t="s">
        <v>211</v>
      </c>
      <c r="C45" s="7">
        <v>0.75849999999999995</v>
      </c>
      <c r="D45">
        <v>30957</v>
      </c>
    </row>
    <row r="46" spans="1:4" x14ac:dyDescent="0.2">
      <c r="A46">
        <v>42101013602</v>
      </c>
      <c r="B46" t="s">
        <v>182</v>
      </c>
      <c r="C46" s="7">
        <v>0.79269999999999996</v>
      </c>
      <c r="D46">
        <v>31039</v>
      </c>
    </row>
    <row r="47" spans="1:4" x14ac:dyDescent="0.2">
      <c r="A47">
        <v>42101021000</v>
      </c>
      <c r="B47" t="s">
        <v>255</v>
      </c>
      <c r="C47" s="7">
        <v>0.8407</v>
      </c>
      <c r="D47">
        <v>31131</v>
      </c>
    </row>
    <row r="48" spans="1:4" x14ac:dyDescent="0.2">
      <c r="A48">
        <v>42101006100</v>
      </c>
      <c r="B48" t="s">
        <v>210</v>
      </c>
      <c r="C48" s="7">
        <v>0.83499999999999996</v>
      </c>
      <c r="D48">
        <v>31134</v>
      </c>
    </row>
    <row r="49" spans="1:4" x14ac:dyDescent="0.2">
      <c r="A49">
        <v>42101031700</v>
      </c>
      <c r="B49" t="s">
        <v>275</v>
      </c>
      <c r="C49" s="7">
        <v>0.90310000000000001</v>
      </c>
      <c r="D49">
        <v>31222</v>
      </c>
    </row>
    <row r="50" spans="1:4" x14ac:dyDescent="0.2">
      <c r="A50">
        <v>42101009000</v>
      </c>
      <c r="B50" t="s">
        <v>267</v>
      </c>
      <c r="C50" s="7">
        <v>0.60460000000000003</v>
      </c>
      <c r="D50">
        <v>31229</v>
      </c>
    </row>
    <row r="51" spans="1:4" x14ac:dyDescent="0.2">
      <c r="A51">
        <v>42101031102</v>
      </c>
      <c r="B51" t="s">
        <v>249</v>
      </c>
      <c r="C51" s="7">
        <v>0.84150000000000003</v>
      </c>
      <c r="D51">
        <v>31576</v>
      </c>
    </row>
    <row r="52" spans="1:4" x14ac:dyDescent="0.2">
      <c r="A52">
        <v>42101030502</v>
      </c>
      <c r="B52" t="s">
        <v>238</v>
      </c>
      <c r="C52" s="7">
        <v>0.85819999999999996</v>
      </c>
      <c r="D52">
        <v>31653</v>
      </c>
    </row>
    <row r="53" spans="1:4" x14ac:dyDescent="0.2">
      <c r="A53">
        <v>42101031402</v>
      </c>
      <c r="B53" t="s">
        <v>249</v>
      </c>
      <c r="C53" s="7">
        <v>0.8246</v>
      </c>
      <c r="D53">
        <v>31873</v>
      </c>
    </row>
    <row r="54" spans="1:4" x14ac:dyDescent="0.2">
      <c r="A54">
        <v>42101001700</v>
      </c>
      <c r="B54" t="s">
        <v>259</v>
      </c>
      <c r="C54" s="7">
        <v>0.75970000000000004</v>
      </c>
      <c r="D54">
        <v>31901</v>
      </c>
    </row>
    <row r="55" spans="1:4" x14ac:dyDescent="0.2">
      <c r="A55">
        <v>42101003902</v>
      </c>
      <c r="B55" t="s">
        <v>156</v>
      </c>
      <c r="C55" s="7">
        <v>0.92169999999999996</v>
      </c>
      <c r="D55">
        <v>31998</v>
      </c>
    </row>
    <row r="56" spans="1:4" x14ac:dyDescent="0.2">
      <c r="A56">
        <v>42101025500</v>
      </c>
      <c r="B56" t="s">
        <v>158</v>
      </c>
      <c r="C56" s="7">
        <v>0.70989999999999998</v>
      </c>
      <c r="D56">
        <v>32117</v>
      </c>
    </row>
    <row r="57" spans="1:4" x14ac:dyDescent="0.2">
      <c r="A57">
        <v>42101034900</v>
      </c>
      <c r="B57" t="s">
        <v>154</v>
      </c>
      <c r="C57" s="7">
        <v>0.879</v>
      </c>
      <c r="D57">
        <v>32127</v>
      </c>
    </row>
    <row r="58" spans="1:4" x14ac:dyDescent="0.2">
      <c r="A58">
        <v>42101002702</v>
      </c>
      <c r="B58" t="s">
        <v>289</v>
      </c>
      <c r="C58" s="7">
        <v>0.88939999999999997</v>
      </c>
      <c r="D58">
        <v>32150</v>
      </c>
    </row>
    <row r="59" spans="1:4" x14ac:dyDescent="0.2">
      <c r="A59">
        <v>42101018400</v>
      </c>
      <c r="B59" t="s">
        <v>166</v>
      </c>
      <c r="C59" s="7">
        <v>0.86629999999999996</v>
      </c>
      <c r="D59">
        <v>32282</v>
      </c>
    </row>
    <row r="60" spans="1:4" x14ac:dyDescent="0.2">
      <c r="A60">
        <v>42101020900</v>
      </c>
      <c r="B60" t="s">
        <v>158</v>
      </c>
      <c r="C60" s="7">
        <v>0.84050000000000002</v>
      </c>
      <c r="D60">
        <v>32331</v>
      </c>
    </row>
    <row r="61" spans="1:4" x14ac:dyDescent="0.2">
      <c r="A61">
        <v>42101002802</v>
      </c>
      <c r="B61" t="s">
        <v>282</v>
      </c>
      <c r="C61" s="7">
        <v>0.87549999999999994</v>
      </c>
      <c r="D61">
        <v>32365</v>
      </c>
    </row>
    <row r="62" spans="1:4" x14ac:dyDescent="0.2">
      <c r="A62">
        <v>42101002900</v>
      </c>
      <c r="B62" t="s">
        <v>246</v>
      </c>
      <c r="C62" s="7">
        <v>0.85060000000000002</v>
      </c>
      <c r="D62">
        <v>32439</v>
      </c>
    </row>
    <row r="63" spans="1:4" x14ac:dyDescent="0.2">
      <c r="A63">
        <v>42101027000</v>
      </c>
      <c r="B63" t="s">
        <v>166</v>
      </c>
      <c r="C63" s="7">
        <v>0.7631</v>
      </c>
      <c r="D63">
        <v>32479</v>
      </c>
    </row>
    <row r="64" spans="1:4" x14ac:dyDescent="0.2">
      <c r="A64">
        <v>42101018300</v>
      </c>
      <c r="B64" t="s">
        <v>280</v>
      </c>
      <c r="C64" s="7">
        <v>0.89810000000000001</v>
      </c>
      <c r="D64">
        <v>32480</v>
      </c>
    </row>
    <row r="65" spans="1:4" x14ac:dyDescent="0.2">
      <c r="A65">
        <v>42101033400</v>
      </c>
      <c r="B65" t="s">
        <v>155</v>
      </c>
      <c r="C65" s="7">
        <v>0.78600000000000003</v>
      </c>
      <c r="D65">
        <v>32547</v>
      </c>
    </row>
    <row r="66" spans="1:4" x14ac:dyDescent="0.2">
      <c r="A66">
        <v>42101034502</v>
      </c>
      <c r="B66" t="s">
        <v>277</v>
      </c>
      <c r="C66" s="7">
        <v>0.79210000000000003</v>
      </c>
      <c r="D66">
        <v>32549</v>
      </c>
    </row>
    <row r="67" spans="1:4" x14ac:dyDescent="0.2">
      <c r="A67">
        <v>42101001101</v>
      </c>
      <c r="B67" t="s">
        <v>235</v>
      </c>
      <c r="C67" s="7">
        <v>0.45760000000000001</v>
      </c>
      <c r="D67">
        <v>32569</v>
      </c>
    </row>
    <row r="68" spans="1:4" x14ac:dyDescent="0.2">
      <c r="A68">
        <v>42101021300</v>
      </c>
      <c r="B68" t="s">
        <v>255</v>
      </c>
      <c r="C68" s="7">
        <v>0.85550000000000004</v>
      </c>
      <c r="D68">
        <v>32629</v>
      </c>
    </row>
    <row r="69" spans="1:4" x14ac:dyDescent="0.2">
      <c r="A69">
        <v>42101025600</v>
      </c>
      <c r="B69" t="s">
        <v>217</v>
      </c>
      <c r="C69" s="7">
        <v>0.70430000000000004</v>
      </c>
      <c r="D69">
        <v>32756</v>
      </c>
    </row>
    <row r="70" spans="1:4" x14ac:dyDescent="0.2">
      <c r="A70">
        <v>42101012500</v>
      </c>
      <c r="B70" t="s">
        <v>166</v>
      </c>
      <c r="C70" s="7">
        <v>0.48070000000000002</v>
      </c>
      <c r="D70">
        <v>32945</v>
      </c>
    </row>
    <row r="71" spans="1:4" x14ac:dyDescent="0.2">
      <c r="A71">
        <v>42101025700</v>
      </c>
      <c r="B71" t="s">
        <v>283</v>
      </c>
      <c r="C71" s="7">
        <v>0.61</v>
      </c>
      <c r="D71">
        <v>32958</v>
      </c>
    </row>
    <row r="72" spans="1:4" x14ac:dyDescent="0.2">
      <c r="A72">
        <v>42101018002</v>
      </c>
      <c r="B72" t="s">
        <v>166</v>
      </c>
      <c r="C72" s="7">
        <v>0.85680000000000001</v>
      </c>
      <c r="D72">
        <v>32984</v>
      </c>
    </row>
    <row r="73" spans="1:4" x14ac:dyDescent="0.2">
      <c r="A73">
        <v>42101030600</v>
      </c>
      <c r="B73" t="s">
        <v>238</v>
      </c>
      <c r="C73" s="7">
        <v>0.8679</v>
      </c>
      <c r="D73">
        <v>32996</v>
      </c>
    </row>
    <row r="74" spans="1:4" x14ac:dyDescent="0.2">
      <c r="A74">
        <v>42101034802</v>
      </c>
      <c r="B74" t="s">
        <v>155</v>
      </c>
      <c r="C74" s="7">
        <v>0.86580000000000001</v>
      </c>
      <c r="D74">
        <v>33096</v>
      </c>
    </row>
    <row r="75" spans="1:4" x14ac:dyDescent="0.2">
      <c r="A75">
        <v>42101033800</v>
      </c>
      <c r="B75" t="s">
        <v>297</v>
      </c>
      <c r="C75" s="7">
        <v>0.80769999999999997</v>
      </c>
      <c r="D75">
        <v>33206</v>
      </c>
    </row>
    <row r="76" spans="1:4" x14ac:dyDescent="0.2">
      <c r="A76">
        <v>42101032000</v>
      </c>
      <c r="B76" t="s">
        <v>155</v>
      </c>
      <c r="C76" s="7">
        <v>0.8679</v>
      </c>
      <c r="D76">
        <v>33295</v>
      </c>
    </row>
    <row r="77" spans="1:4" x14ac:dyDescent="0.2">
      <c r="A77">
        <v>42101020700</v>
      </c>
      <c r="B77" t="s">
        <v>266</v>
      </c>
      <c r="C77" s="7">
        <v>0.80379999999999996</v>
      </c>
      <c r="D77">
        <v>33324</v>
      </c>
    </row>
    <row r="78" spans="1:4" x14ac:dyDescent="0.2">
      <c r="A78">
        <v>42101037500</v>
      </c>
      <c r="B78" t="s">
        <v>214</v>
      </c>
      <c r="C78" s="7">
        <v>0.73270000000000002</v>
      </c>
      <c r="D78">
        <v>33331</v>
      </c>
    </row>
    <row r="79" spans="1:4" x14ac:dyDescent="0.2">
      <c r="A79">
        <v>42101020800</v>
      </c>
      <c r="B79" t="s">
        <v>266</v>
      </c>
      <c r="C79" s="7">
        <v>0.73209999999999997</v>
      </c>
      <c r="D79">
        <v>33559</v>
      </c>
    </row>
    <row r="80" spans="1:4" x14ac:dyDescent="0.2">
      <c r="A80">
        <v>42101021500</v>
      </c>
      <c r="B80" t="s">
        <v>255</v>
      </c>
      <c r="C80" s="7">
        <v>0.81689999999999996</v>
      </c>
      <c r="D80">
        <v>33605</v>
      </c>
    </row>
    <row r="81" spans="1:4" x14ac:dyDescent="0.2">
      <c r="A81">
        <v>42101021900</v>
      </c>
      <c r="B81" t="s">
        <v>317</v>
      </c>
      <c r="C81" s="7">
        <v>0.84440000000000004</v>
      </c>
      <c r="D81">
        <v>33674</v>
      </c>
    </row>
    <row r="82" spans="1:4" x14ac:dyDescent="0.2">
      <c r="A82">
        <v>42101037300</v>
      </c>
      <c r="B82" t="s">
        <v>286</v>
      </c>
      <c r="C82" s="7">
        <v>0.87109999999999999</v>
      </c>
      <c r="D82">
        <v>33784</v>
      </c>
    </row>
    <row r="83" spans="1:4" x14ac:dyDescent="0.2">
      <c r="A83">
        <v>42101037900</v>
      </c>
      <c r="B83" t="s">
        <v>166</v>
      </c>
      <c r="C83" s="7">
        <v>0.88919999999999999</v>
      </c>
      <c r="D83">
        <v>33919</v>
      </c>
    </row>
    <row r="84" spans="1:4" x14ac:dyDescent="0.2">
      <c r="A84">
        <v>42101000700</v>
      </c>
      <c r="B84" t="s">
        <v>235</v>
      </c>
      <c r="C84" s="7">
        <v>0.6431</v>
      </c>
      <c r="D84">
        <v>33926</v>
      </c>
    </row>
    <row r="85" spans="1:4" x14ac:dyDescent="0.2">
      <c r="A85">
        <v>42101025800</v>
      </c>
      <c r="B85" t="s">
        <v>166</v>
      </c>
      <c r="C85" s="7">
        <v>0.74419999999999997</v>
      </c>
      <c r="D85">
        <v>33966</v>
      </c>
    </row>
    <row r="86" spans="1:4" x14ac:dyDescent="0.2">
      <c r="A86">
        <v>42101021600</v>
      </c>
      <c r="B86" t="s">
        <v>158</v>
      </c>
      <c r="C86" s="7">
        <v>0.88329999999999997</v>
      </c>
      <c r="D86">
        <v>34021</v>
      </c>
    </row>
    <row r="87" spans="1:4" x14ac:dyDescent="0.2">
      <c r="A87">
        <v>42101031000</v>
      </c>
      <c r="B87" t="s">
        <v>249</v>
      </c>
      <c r="C87" s="7">
        <v>0.80559999999999998</v>
      </c>
      <c r="D87">
        <v>34146</v>
      </c>
    </row>
    <row r="88" spans="1:4" x14ac:dyDescent="0.2">
      <c r="A88">
        <v>42101033900</v>
      </c>
      <c r="B88" t="s">
        <v>297</v>
      </c>
      <c r="C88" s="7">
        <v>0.82410000000000005</v>
      </c>
      <c r="D88">
        <v>34177</v>
      </c>
    </row>
    <row r="89" spans="1:4" x14ac:dyDescent="0.2">
      <c r="A89">
        <v>42101000200</v>
      </c>
      <c r="B89" t="s">
        <v>235</v>
      </c>
      <c r="C89" s="7">
        <v>0.84489999999999998</v>
      </c>
      <c r="D89">
        <v>34182</v>
      </c>
    </row>
    <row r="90" spans="1:4" x14ac:dyDescent="0.2">
      <c r="A90">
        <v>42101034000</v>
      </c>
      <c r="B90" t="s">
        <v>297</v>
      </c>
      <c r="C90" s="7">
        <v>0.83240000000000003</v>
      </c>
      <c r="D90">
        <v>34244</v>
      </c>
    </row>
    <row r="91" spans="1:4" x14ac:dyDescent="0.2">
      <c r="A91">
        <v>42101021100</v>
      </c>
      <c r="B91" t="s">
        <v>158</v>
      </c>
      <c r="C91" s="7">
        <v>0.84740000000000004</v>
      </c>
      <c r="D91">
        <v>34377</v>
      </c>
    </row>
    <row r="92" spans="1:4" x14ac:dyDescent="0.2">
      <c r="A92">
        <v>42101033701</v>
      </c>
      <c r="B92" t="s">
        <v>155</v>
      </c>
      <c r="C92" s="7">
        <v>0.80740000000000001</v>
      </c>
      <c r="D92">
        <v>34433</v>
      </c>
    </row>
    <row r="93" spans="1:4" x14ac:dyDescent="0.2">
      <c r="A93">
        <v>42101035301</v>
      </c>
      <c r="B93" t="s">
        <v>304</v>
      </c>
      <c r="C93" s="7">
        <v>0.85309999999999997</v>
      </c>
      <c r="D93">
        <v>34455</v>
      </c>
    </row>
    <row r="94" spans="1:4" x14ac:dyDescent="0.2">
      <c r="A94">
        <v>42101033102</v>
      </c>
      <c r="B94" t="s">
        <v>154</v>
      </c>
      <c r="C94" s="7">
        <v>0.86829999999999996</v>
      </c>
      <c r="D94">
        <v>34554</v>
      </c>
    </row>
    <row r="95" spans="1:4" x14ac:dyDescent="0.2">
      <c r="A95">
        <v>42101032600</v>
      </c>
      <c r="B95" t="s">
        <v>155</v>
      </c>
      <c r="C95" s="7">
        <v>0.88770000000000004</v>
      </c>
      <c r="D95">
        <v>34683</v>
      </c>
    </row>
    <row r="96" spans="1:4" x14ac:dyDescent="0.2">
      <c r="A96">
        <v>42101000902</v>
      </c>
      <c r="B96" t="s">
        <v>235</v>
      </c>
      <c r="C96" s="7">
        <v>0.73650000000000004</v>
      </c>
      <c r="D96">
        <v>34793</v>
      </c>
    </row>
    <row r="97" spans="1:4" x14ac:dyDescent="0.2">
      <c r="A97">
        <v>42101026900</v>
      </c>
      <c r="B97" t="s">
        <v>166</v>
      </c>
      <c r="C97" s="7">
        <v>0.745</v>
      </c>
      <c r="D97">
        <v>34805</v>
      </c>
    </row>
    <row r="98" spans="1:4" x14ac:dyDescent="0.2">
      <c r="A98">
        <v>42101030700</v>
      </c>
      <c r="B98" t="s">
        <v>238</v>
      </c>
      <c r="C98" s="7">
        <v>0.82220000000000004</v>
      </c>
      <c r="D98">
        <v>34852</v>
      </c>
    </row>
    <row r="99" spans="1:4" x14ac:dyDescent="0.2">
      <c r="A99">
        <v>42101023500</v>
      </c>
      <c r="B99" t="s">
        <v>232</v>
      </c>
      <c r="C99" s="7">
        <v>0.67400000000000004</v>
      </c>
      <c r="D99">
        <v>34874</v>
      </c>
    </row>
    <row r="100" spans="1:4" x14ac:dyDescent="0.2">
      <c r="A100">
        <v>42101031501</v>
      </c>
      <c r="B100" t="s">
        <v>275</v>
      </c>
      <c r="C100" s="7">
        <v>0.83879999999999999</v>
      </c>
      <c r="D100">
        <v>34956</v>
      </c>
    </row>
    <row r="101" spans="1:4" x14ac:dyDescent="0.2">
      <c r="A101">
        <v>42101033500</v>
      </c>
      <c r="B101" t="s">
        <v>155</v>
      </c>
      <c r="C101" s="7">
        <v>0.83599999999999997</v>
      </c>
      <c r="D101">
        <v>34966</v>
      </c>
    </row>
    <row r="102" spans="1:4" x14ac:dyDescent="0.2">
      <c r="A102">
        <v>42101000801</v>
      </c>
      <c r="B102" t="s">
        <v>235</v>
      </c>
      <c r="C102" s="7">
        <v>0.37969999999999998</v>
      </c>
      <c r="D102">
        <v>35020</v>
      </c>
    </row>
    <row r="103" spans="1:4" x14ac:dyDescent="0.2">
      <c r="A103">
        <v>42101034801</v>
      </c>
      <c r="B103" t="s">
        <v>155</v>
      </c>
      <c r="C103" s="7">
        <v>0.8155</v>
      </c>
      <c r="D103">
        <v>35243</v>
      </c>
    </row>
    <row r="104" spans="1:4" x14ac:dyDescent="0.2">
      <c r="A104">
        <v>42101000300</v>
      </c>
      <c r="B104" t="s">
        <v>235</v>
      </c>
      <c r="C104" s="7">
        <v>0.57179999999999997</v>
      </c>
      <c r="D104">
        <v>35404</v>
      </c>
    </row>
    <row r="105" spans="1:4" x14ac:dyDescent="0.2">
      <c r="A105">
        <v>42101003800</v>
      </c>
      <c r="B105" t="s">
        <v>294</v>
      </c>
      <c r="C105" s="7">
        <v>0.88339999999999996</v>
      </c>
      <c r="D105">
        <v>35523</v>
      </c>
    </row>
    <row r="106" spans="1:4" x14ac:dyDescent="0.2">
      <c r="A106">
        <v>42101033600</v>
      </c>
      <c r="B106" t="s">
        <v>155</v>
      </c>
      <c r="C106" s="7">
        <v>0.80269999999999997</v>
      </c>
      <c r="D106">
        <v>35863</v>
      </c>
    </row>
    <row r="107" spans="1:4" x14ac:dyDescent="0.2">
      <c r="A107">
        <v>42101038700</v>
      </c>
      <c r="B107" t="s">
        <v>158</v>
      </c>
      <c r="C107" s="7">
        <v>0.64090000000000003</v>
      </c>
      <c r="D107">
        <v>35981</v>
      </c>
    </row>
    <row r="108" spans="1:4" x14ac:dyDescent="0.2">
      <c r="A108">
        <v>42101038800</v>
      </c>
      <c r="B108" t="s">
        <v>232</v>
      </c>
      <c r="C108" s="7">
        <v>0.63380000000000003</v>
      </c>
      <c r="D108">
        <v>35988</v>
      </c>
    </row>
    <row r="109" spans="1:4" x14ac:dyDescent="0.2">
      <c r="A109">
        <v>42101033300</v>
      </c>
      <c r="B109" t="s">
        <v>155</v>
      </c>
      <c r="C109" s="7">
        <v>0.80979999999999996</v>
      </c>
      <c r="D109">
        <v>36305</v>
      </c>
    </row>
    <row r="110" spans="1:4" x14ac:dyDescent="0.2">
      <c r="A110">
        <v>42101031600</v>
      </c>
      <c r="B110" t="s">
        <v>155</v>
      </c>
      <c r="C110" s="7">
        <v>0.85419999999999996</v>
      </c>
      <c r="D110">
        <v>36385</v>
      </c>
    </row>
    <row r="111" spans="1:4" x14ac:dyDescent="0.2">
      <c r="A111">
        <v>42101034501</v>
      </c>
      <c r="B111" t="s">
        <v>155</v>
      </c>
      <c r="C111" s="7">
        <v>0.77049999999999996</v>
      </c>
      <c r="D111">
        <v>36472</v>
      </c>
    </row>
    <row r="112" spans="1:4" x14ac:dyDescent="0.2">
      <c r="A112">
        <v>42101035302</v>
      </c>
      <c r="B112" t="s">
        <v>304</v>
      </c>
      <c r="C112" s="7">
        <v>0.86060000000000003</v>
      </c>
      <c r="D112">
        <v>36480</v>
      </c>
    </row>
    <row r="113" spans="1:4" x14ac:dyDescent="0.2">
      <c r="A113">
        <v>42101033101</v>
      </c>
      <c r="B113" t="s">
        <v>154</v>
      </c>
      <c r="C113" s="7">
        <v>0.873</v>
      </c>
      <c r="D113">
        <v>36509</v>
      </c>
    </row>
    <row r="114" spans="1:4" x14ac:dyDescent="0.2">
      <c r="A114">
        <v>42101034803</v>
      </c>
      <c r="B114" t="s">
        <v>155</v>
      </c>
      <c r="C114" s="7">
        <v>0.85440000000000005</v>
      </c>
      <c r="D114">
        <v>36807</v>
      </c>
    </row>
    <row r="115" spans="1:4" x14ac:dyDescent="0.2">
      <c r="A115">
        <v>42101021200</v>
      </c>
      <c r="B115" t="s">
        <v>158</v>
      </c>
      <c r="C115" s="7">
        <v>0.88580000000000003</v>
      </c>
      <c r="D115">
        <v>36850</v>
      </c>
    </row>
    <row r="116" spans="1:4" x14ac:dyDescent="0.2">
      <c r="A116">
        <v>42101033702</v>
      </c>
      <c r="B116" t="s">
        <v>155</v>
      </c>
      <c r="C116" s="7">
        <v>0.76739999999999997</v>
      </c>
      <c r="D116">
        <v>36886</v>
      </c>
    </row>
    <row r="117" spans="1:4" x14ac:dyDescent="0.2">
      <c r="A117">
        <v>42101000402</v>
      </c>
      <c r="B117" t="s">
        <v>235</v>
      </c>
      <c r="C117" s="7">
        <v>0.45379999999999998</v>
      </c>
      <c r="D117">
        <v>37073</v>
      </c>
    </row>
    <row r="118" spans="1:4" x14ac:dyDescent="0.2">
      <c r="A118">
        <v>42101021700</v>
      </c>
      <c r="B118" t="s">
        <v>158</v>
      </c>
      <c r="C118" s="7">
        <v>0.82520000000000004</v>
      </c>
      <c r="D118">
        <v>37176</v>
      </c>
    </row>
    <row r="119" spans="1:4" x14ac:dyDescent="0.2">
      <c r="A119">
        <v>42101001600</v>
      </c>
      <c r="B119" t="s">
        <v>259</v>
      </c>
      <c r="C119" s="7">
        <v>0.60370000000000001</v>
      </c>
      <c r="D119">
        <v>37233</v>
      </c>
    </row>
    <row r="120" spans="1:4" x14ac:dyDescent="0.2">
      <c r="A120">
        <v>42101000804</v>
      </c>
      <c r="B120" t="s">
        <v>235</v>
      </c>
      <c r="C120" s="7">
        <v>0.46479999999999999</v>
      </c>
      <c r="D120">
        <v>37293</v>
      </c>
    </row>
    <row r="121" spans="1:4" x14ac:dyDescent="0.2">
      <c r="A121">
        <v>42101030800</v>
      </c>
      <c r="B121" t="s">
        <v>249</v>
      </c>
      <c r="C121" s="7">
        <v>0.82320000000000004</v>
      </c>
      <c r="D121">
        <v>37442</v>
      </c>
    </row>
    <row r="122" spans="1:4" x14ac:dyDescent="0.2">
      <c r="A122">
        <v>42101031502</v>
      </c>
      <c r="B122" t="s">
        <v>275</v>
      </c>
      <c r="C122" s="7">
        <v>0.84119999999999995</v>
      </c>
      <c r="D122">
        <v>37506</v>
      </c>
    </row>
    <row r="123" spans="1:4" x14ac:dyDescent="0.2">
      <c r="A123">
        <v>42101034200</v>
      </c>
      <c r="B123" t="s">
        <v>297</v>
      </c>
      <c r="C123" s="7">
        <v>0.82709999999999995</v>
      </c>
      <c r="D123">
        <v>37595</v>
      </c>
    </row>
    <row r="124" spans="1:4" x14ac:dyDescent="0.2">
      <c r="A124">
        <v>42101023600</v>
      </c>
      <c r="B124" t="s">
        <v>232</v>
      </c>
      <c r="C124" s="7">
        <v>0.59640000000000004</v>
      </c>
      <c r="D124">
        <v>37738</v>
      </c>
    </row>
    <row r="125" spans="1:4" x14ac:dyDescent="0.2">
      <c r="A125">
        <v>42101034100</v>
      </c>
      <c r="B125" t="s">
        <v>297</v>
      </c>
      <c r="C125" s="7">
        <v>0.84860000000000002</v>
      </c>
      <c r="D125">
        <v>37793</v>
      </c>
    </row>
    <row r="126" spans="1:4" x14ac:dyDescent="0.2">
      <c r="A126">
        <v>42101980200</v>
      </c>
      <c r="B126" t="s">
        <v>155</v>
      </c>
      <c r="C126" s="7">
        <v>0.64939999999999998</v>
      </c>
      <c r="D126">
        <v>37864</v>
      </c>
    </row>
    <row r="127" spans="1:4" x14ac:dyDescent="0.2">
      <c r="A127">
        <v>42101034701</v>
      </c>
      <c r="B127" t="s">
        <v>155</v>
      </c>
      <c r="C127" s="7">
        <v>0.82950000000000002</v>
      </c>
      <c r="D127">
        <v>38180</v>
      </c>
    </row>
    <row r="128" spans="1:4" x14ac:dyDescent="0.2">
      <c r="A128">
        <v>42101036900</v>
      </c>
      <c r="B128" t="s">
        <v>329</v>
      </c>
      <c r="C128" s="7">
        <v>0.4798</v>
      </c>
      <c r="D128">
        <v>38510</v>
      </c>
    </row>
    <row r="129" spans="1:4" x14ac:dyDescent="0.2">
      <c r="A129">
        <v>42101035200</v>
      </c>
      <c r="B129" t="s">
        <v>155</v>
      </c>
      <c r="C129" s="7">
        <v>0.89119999999999999</v>
      </c>
      <c r="D129">
        <v>38590</v>
      </c>
    </row>
    <row r="130" spans="1:4" x14ac:dyDescent="0.2">
      <c r="A130">
        <v>42101033200</v>
      </c>
      <c r="B130" t="s">
        <v>275</v>
      </c>
      <c r="C130" s="7">
        <v>0.85070000000000001</v>
      </c>
      <c r="D130">
        <v>38735</v>
      </c>
    </row>
    <row r="131" spans="1:4" x14ac:dyDescent="0.2">
      <c r="A131">
        <v>42101022000</v>
      </c>
      <c r="B131" t="s">
        <v>158</v>
      </c>
      <c r="C131" s="7">
        <v>0.80910000000000004</v>
      </c>
      <c r="D131">
        <v>39445</v>
      </c>
    </row>
    <row r="132" spans="1:4" x14ac:dyDescent="0.2">
      <c r="A132">
        <v>42101013402</v>
      </c>
      <c r="B132" t="s">
        <v>172</v>
      </c>
      <c r="C132" s="7">
        <v>0.63859999999999995</v>
      </c>
      <c r="D132">
        <v>39514</v>
      </c>
    </row>
    <row r="133" spans="1:4" x14ac:dyDescent="0.2">
      <c r="A133">
        <v>42101021800</v>
      </c>
      <c r="B133" t="s">
        <v>317</v>
      </c>
      <c r="C133" s="7">
        <v>0.82509999999999994</v>
      </c>
      <c r="D133">
        <v>39744</v>
      </c>
    </row>
    <row r="134" spans="1:4" x14ac:dyDescent="0.2">
      <c r="A134">
        <v>42101001202</v>
      </c>
      <c r="B134" t="s">
        <v>235</v>
      </c>
      <c r="C134" s="7">
        <v>0.51290000000000002</v>
      </c>
      <c r="D134">
        <v>40310</v>
      </c>
    </row>
    <row r="135" spans="1:4" x14ac:dyDescent="0.2">
      <c r="A135">
        <v>42101001201</v>
      </c>
      <c r="B135" t="s">
        <v>235</v>
      </c>
      <c r="C135" s="7">
        <v>0.52190000000000003</v>
      </c>
      <c r="D135">
        <v>40747</v>
      </c>
    </row>
    <row r="136" spans="1:4" x14ac:dyDescent="0.2">
      <c r="A136">
        <v>42101038400</v>
      </c>
      <c r="B136" t="s">
        <v>158</v>
      </c>
      <c r="C136" s="7">
        <v>0.7288</v>
      </c>
      <c r="D136">
        <v>41024</v>
      </c>
    </row>
    <row r="137" spans="1:4" x14ac:dyDescent="0.2">
      <c r="A137">
        <v>42101013601</v>
      </c>
      <c r="B137" t="s">
        <v>172</v>
      </c>
      <c r="C137" s="7">
        <v>0.66679999999999995</v>
      </c>
      <c r="D137">
        <v>41135</v>
      </c>
    </row>
    <row r="138" spans="1:4" x14ac:dyDescent="0.2">
      <c r="A138">
        <v>42101034702</v>
      </c>
      <c r="B138" t="s">
        <v>155</v>
      </c>
      <c r="C138" s="7">
        <v>0.8488</v>
      </c>
      <c r="D138">
        <v>41499</v>
      </c>
    </row>
    <row r="139" spans="1:4" x14ac:dyDescent="0.2">
      <c r="A139">
        <v>42101023100</v>
      </c>
      <c r="B139" t="s">
        <v>283</v>
      </c>
      <c r="C139" s="7">
        <v>0.54890000000000005</v>
      </c>
      <c r="D139">
        <v>41763</v>
      </c>
    </row>
    <row r="140" spans="1:4" x14ac:dyDescent="0.2">
      <c r="A140">
        <v>42101036600</v>
      </c>
      <c r="B140" t="s">
        <v>235</v>
      </c>
      <c r="C140" s="7">
        <v>0.69389999999999996</v>
      </c>
      <c r="D140">
        <v>42033</v>
      </c>
    </row>
    <row r="141" spans="1:4" x14ac:dyDescent="0.2">
      <c r="A141">
        <v>42101001102</v>
      </c>
      <c r="B141" t="s">
        <v>235</v>
      </c>
      <c r="C141" s="7">
        <v>0.5171</v>
      </c>
      <c r="D141">
        <v>42067</v>
      </c>
    </row>
    <row r="142" spans="1:4" x14ac:dyDescent="0.2">
      <c r="A142">
        <v>42101001001</v>
      </c>
      <c r="B142" t="s">
        <v>235</v>
      </c>
      <c r="C142" s="7">
        <v>0.51319999999999999</v>
      </c>
      <c r="D142">
        <v>42343</v>
      </c>
    </row>
    <row r="143" spans="1:4" x14ac:dyDescent="0.2">
      <c r="A143">
        <v>42101001002</v>
      </c>
      <c r="B143" t="s">
        <v>235</v>
      </c>
      <c r="C143" s="7">
        <v>0.38890000000000002</v>
      </c>
      <c r="D143">
        <v>42375</v>
      </c>
    </row>
    <row r="144" spans="1:4" x14ac:dyDescent="0.2">
      <c r="A144">
        <v>42101020600</v>
      </c>
      <c r="B144" t="s">
        <v>266</v>
      </c>
      <c r="C144" s="7">
        <v>0.58160000000000001</v>
      </c>
      <c r="D144">
        <v>44138</v>
      </c>
    </row>
    <row r="145" spans="1:4" x14ac:dyDescent="0.2">
      <c r="A145">
        <v>42101008801</v>
      </c>
      <c r="B145" t="s">
        <v>160</v>
      </c>
      <c r="C145" s="7">
        <v>0.4234</v>
      </c>
      <c r="D145">
        <v>44139</v>
      </c>
    </row>
    <row r="146" spans="1:4" x14ac:dyDescent="0.2">
      <c r="A146">
        <v>42101013401</v>
      </c>
      <c r="B146" t="s">
        <v>172</v>
      </c>
      <c r="C146" s="7">
        <v>0.62129999999999996</v>
      </c>
      <c r="D146">
        <v>45019</v>
      </c>
    </row>
    <row r="147" spans="1:4" x14ac:dyDescent="0.2">
      <c r="A147">
        <v>42101000803</v>
      </c>
      <c r="B147" t="s">
        <v>235</v>
      </c>
      <c r="C147" s="7">
        <v>0.50419999999999998</v>
      </c>
      <c r="D147">
        <v>45122</v>
      </c>
    </row>
    <row r="148" spans="1:4" x14ac:dyDescent="0.2">
      <c r="A148">
        <v>42101038600</v>
      </c>
      <c r="B148" t="s">
        <v>283</v>
      </c>
      <c r="C148" s="7">
        <v>0.47149999999999997</v>
      </c>
      <c r="D148">
        <v>45428</v>
      </c>
    </row>
    <row r="149" spans="1:4" x14ac:dyDescent="0.2">
      <c r="A149">
        <v>42101038500</v>
      </c>
      <c r="B149" t="s">
        <v>283</v>
      </c>
      <c r="C149" s="7">
        <v>0.53110000000000002</v>
      </c>
      <c r="D149">
        <v>45780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DAD075-13EE-ED40-BCEE-1081CCFA7936}">
  <dimension ref="A1:G191"/>
  <sheetViews>
    <sheetView tabSelected="1" zoomScale="75" workbookViewId="0">
      <selection activeCell="F47" sqref="F47"/>
    </sheetView>
  </sheetViews>
  <sheetFormatPr baseColWidth="10" defaultRowHeight="16" x14ac:dyDescent="0.2"/>
  <cols>
    <col min="1" max="1" width="16.83203125" customWidth="1"/>
    <col min="2" max="2" width="34.6640625" customWidth="1"/>
    <col min="3" max="3" width="53.5" customWidth="1"/>
    <col min="4" max="4" width="15.33203125" customWidth="1"/>
    <col min="6" max="6" width="16.6640625" customWidth="1"/>
  </cols>
  <sheetData>
    <row r="1" spans="1:7" x14ac:dyDescent="0.2">
      <c r="A1" t="s">
        <v>0</v>
      </c>
      <c r="B1" t="s">
        <v>1</v>
      </c>
      <c r="C1" t="s">
        <v>151</v>
      </c>
      <c r="D1" t="s">
        <v>377</v>
      </c>
    </row>
    <row r="2" spans="1:7" x14ac:dyDescent="0.2">
      <c r="A2">
        <v>24510180100</v>
      </c>
      <c r="B2" t="s">
        <v>102</v>
      </c>
      <c r="C2" s="7">
        <v>0.9274</v>
      </c>
      <c r="D2">
        <v>14365</v>
      </c>
    </row>
    <row r="3" spans="1:7" x14ac:dyDescent="0.2">
      <c r="A3">
        <v>24510200500</v>
      </c>
      <c r="B3" t="s">
        <v>129</v>
      </c>
      <c r="C3" s="7">
        <v>0.82199999999999995</v>
      </c>
      <c r="D3">
        <v>14938</v>
      </c>
      <c r="F3" s="14" t="s">
        <v>386</v>
      </c>
      <c r="G3" s="13">
        <f>AVERAGE(C2:C191)</f>
        <v>0.81978947368421051</v>
      </c>
    </row>
    <row r="4" spans="1:7" x14ac:dyDescent="0.2">
      <c r="A4">
        <v>24510200300</v>
      </c>
      <c r="B4" t="s">
        <v>138</v>
      </c>
      <c r="C4" s="7">
        <v>0.80200000000000005</v>
      </c>
      <c r="D4">
        <v>15614</v>
      </c>
      <c r="F4" s="14" t="s">
        <v>387</v>
      </c>
      <c r="G4" s="12">
        <f>AVERAGE(D2:D191)</f>
        <v>23666.515789473684</v>
      </c>
    </row>
    <row r="5" spans="1:7" x14ac:dyDescent="0.2">
      <c r="A5">
        <v>24510080800</v>
      </c>
      <c r="B5" t="s">
        <v>123</v>
      </c>
      <c r="C5" s="7">
        <v>0.8679</v>
      </c>
      <c r="D5">
        <v>15854</v>
      </c>
    </row>
    <row r="6" spans="1:7" x14ac:dyDescent="0.2">
      <c r="A6">
        <v>24510130100</v>
      </c>
      <c r="B6" t="s">
        <v>117</v>
      </c>
      <c r="C6" s="7">
        <v>0.84599999999999997</v>
      </c>
      <c r="D6">
        <v>15921</v>
      </c>
    </row>
    <row r="7" spans="1:7" x14ac:dyDescent="0.2">
      <c r="A7">
        <v>24510190300</v>
      </c>
      <c r="B7" t="s">
        <v>133</v>
      </c>
      <c r="C7" s="7">
        <v>0.85360000000000003</v>
      </c>
      <c r="D7">
        <v>16142</v>
      </c>
    </row>
    <row r="8" spans="1:7" x14ac:dyDescent="0.2">
      <c r="A8">
        <v>24510210100</v>
      </c>
      <c r="B8" t="s">
        <v>86</v>
      </c>
      <c r="C8" s="7">
        <v>0.89349999999999996</v>
      </c>
      <c r="D8">
        <v>16182</v>
      </c>
    </row>
    <row r="9" spans="1:7" x14ac:dyDescent="0.2">
      <c r="A9">
        <v>24510070300</v>
      </c>
      <c r="B9" t="s">
        <v>148</v>
      </c>
      <c r="C9" s="7">
        <v>0.89549999999999996</v>
      </c>
      <c r="D9">
        <v>16572</v>
      </c>
    </row>
    <row r="10" spans="1:7" x14ac:dyDescent="0.2">
      <c r="A10">
        <v>24510200400</v>
      </c>
      <c r="B10" t="s">
        <v>146</v>
      </c>
      <c r="C10" s="7">
        <v>0.88719999999999999</v>
      </c>
      <c r="D10">
        <v>16603</v>
      </c>
    </row>
    <row r="11" spans="1:7" x14ac:dyDescent="0.2">
      <c r="A11">
        <v>24510190200</v>
      </c>
      <c r="B11" t="s">
        <v>118</v>
      </c>
      <c r="C11" s="7">
        <v>0.79930000000000001</v>
      </c>
      <c r="D11">
        <v>16632</v>
      </c>
    </row>
    <row r="12" spans="1:7" x14ac:dyDescent="0.2">
      <c r="A12">
        <v>24510060100</v>
      </c>
      <c r="B12" t="s">
        <v>65</v>
      </c>
      <c r="C12" s="7">
        <v>0.89149999999999996</v>
      </c>
      <c r="D12">
        <v>16727</v>
      </c>
    </row>
    <row r="13" spans="1:7" x14ac:dyDescent="0.2">
      <c r="A13">
        <v>24510250204</v>
      </c>
      <c r="B13" t="s">
        <v>110</v>
      </c>
      <c r="C13" s="7">
        <v>0.90620000000000001</v>
      </c>
      <c r="D13">
        <v>16789</v>
      </c>
    </row>
    <row r="14" spans="1:7" x14ac:dyDescent="0.2">
      <c r="A14">
        <v>24510140300</v>
      </c>
      <c r="B14" t="s">
        <v>143</v>
      </c>
      <c r="C14" s="7">
        <v>0.88349999999999995</v>
      </c>
      <c r="D14">
        <v>16874</v>
      </c>
    </row>
    <row r="15" spans="1:7" x14ac:dyDescent="0.2">
      <c r="A15">
        <v>24510040200</v>
      </c>
      <c r="B15" t="s">
        <v>58</v>
      </c>
      <c r="C15" s="7">
        <v>0.78080000000000005</v>
      </c>
      <c r="D15">
        <v>16877</v>
      </c>
    </row>
    <row r="16" spans="1:7" x14ac:dyDescent="0.2">
      <c r="A16">
        <v>24510190100</v>
      </c>
      <c r="B16" t="s">
        <v>145</v>
      </c>
      <c r="C16" s="7">
        <v>0.90339999999999998</v>
      </c>
      <c r="D16">
        <v>16972</v>
      </c>
    </row>
    <row r="17" spans="1:4" x14ac:dyDescent="0.2">
      <c r="A17">
        <v>24510150100</v>
      </c>
      <c r="B17" t="s">
        <v>127</v>
      </c>
      <c r="C17" s="7">
        <v>0.94479999999999997</v>
      </c>
      <c r="D17">
        <v>16983</v>
      </c>
    </row>
    <row r="18" spans="1:4" x14ac:dyDescent="0.2">
      <c r="A18">
        <v>24510260303</v>
      </c>
      <c r="B18" t="s">
        <v>142</v>
      </c>
      <c r="C18" s="7">
        <v>0.8669</v>
      </c>
      <c r="D18">
        <v>17118</v>
      </c>
    </row>
    <row r="19" spans="1:4" x14ac:dyDescent="0.2">
      <c r="A19">
        <v>24510170300</v>
      </c>
      <c r="B19" t="s">
        <v>136</v>
      </c>
      <c r="C19" s="7">
        <v>0.871</v>
      </c>
      <c r="D19">
        <v>17127</v>
      </c>
    </row>
    <row r="20" spans="1:4" x14ac:dyDescent="0.2">
      <c r="A20">
        <v>24510260604</v>
      </c>
      <c r="B20" t="s">
        <v>135</v>
      </c>
      <c r="C20" s="7">
        <v>0.88270000000000004</v>
      </c>
      <c r="D20">
        <v>17340</v>
      </c>
    </row>
    <row r="21" spans="1:4" x14ac:dyDescent="0.2">
      <c r="A21">
        <v>24510250301</v>
      </c>
      <c r="B21" t="s">
        <v>140</v>
      </c>
      <c r="C21" s="7">
        <v>0.89690000000000003</v>
      </c>
      <c r="D21">
        <v>17370</v>
      </c>
    </row>
    <row r="22" spans="1:4" x14ac:dyDescent="0.2">
      <c r="A22">
        <v>24510250600</v>
      </c>
      <c r="B22" t="s">
        <v>47</v>
      </c>
      <c r="C22" s="7">
        <v>0.83699999999999997</v>
      </c>
      <c r="D22">
        <v>17457</v>
      </c>
    </row>
    <row r="23" spans="1:4" x14ac:dyDescent="0.2">
      <c r="A23">
        <v>24510100100</v>
      </c>
      <c r="B23" t="s">
        <v>147</v>
      </c>
      <c r="C23" s="7">
        <v>0.90310000000000001</v>
      </c>
      <c r="D23">
        <v>17684</v>
      </c>
    </row>
    <row r="24" spans="1:4" x14ac:dyDescent="0.2">
      <c r="A24">
        <v>24510280500</v>
      </c>
      <c r="B24" t="s">
        <v>144</v>
      </c>
      <c r="C24" s="7">
        <v>0.90400000000000003</v>
      </c>
      <c r="D24">
        <v>17719</v>
      </c>
    </row>
    <row r="25" spans="1:4" x14ac:dyDescent="0.2">
      <c r="A25">
        <v>24510080700</v>
      </c>
      <c r="B25" t="s">
        <v>123</v>
      </c>
      <c r="C25" s="7">
        <v>0.89490000000000003</v>
      </c>
      <c r="D25">
        <v>17786</v>
      </c>
    </row>
    <row r="26" spans="1:4" x14ac:dyDescent="0.2">
      <c r="A26">
        <v>24510170200</v>
      </c>
      <c r="B26" t="s">
        <v>141</v>
      </c>
      <c r="C26" s="7">
        <v>0.88819999999999999</v>
      </c>
      <c r="D26">
        <v>17947</v>
      </c>
    </row>
    <row r="27" spans="1:4" x14ac:dyDescent="0.2">
      <c r="A27">
        <v>24510080200</v>
      </c>
      <c r="B27" t="s">
        <v>123</v>
      </c>
      <c r="C27" s="7">
        <v>0.91849999999999998</v>
      </c>
      <c r="D27">
        <v>18131</v>
      </c>
    </row>
    <row r="28" spans="1:4" x14ac:dyDescent="0.2">
      <c r="A28">
        <v>24510090900</v>
      </c>
      <c r="B28" t="s">
        <v>139</v>
      </c>
      <c r="C28" s="7">
        <v>0.89649999999999996</v>
      </c>
      <c r="D28">
        <v>18262</v>
      </c>
    </row>
    <row r="29" spans="1:4" x14ac:dyDescent="0.2">
      <c r="A29">
        <v>24510230300</v>
      </c>
      <c r="B29" t="s">
        <v>54</v>
      </c>
      <c r="C29" s="7">
        <v>0.872</v>
      </c>
      <c r="D29">
        <v>18388</v>
      </c>
    </row>
    <row r="30" spans="1:4" x14ac:dyDescent="0.2">
      <c r="A30">
        <v>24510250500</v>
      </c>
      <c r="B30" t="s">
        <v>90</v>
      </c>
      <c r="C30" s="7">
        <v>0.76429999999999998</v>
      </c>
      <c r="D30">
        <v>18416</v>
      </c>
    </row>
    <row r="31" spans="1:4" x14ac:dyDescent="0.2">
      <c r="A31">
        <v>24510080301</v>
      </c>
      <c r="B31" t="s">
        <v>113</v>
      </c>
      <c r="C31" s="7">
        <v>0.872</v>
      </c>
      <c r="D31">
        <v>18460</v>
      </c>
    </row>
    <row r="32" spans="1:4" x14ac:dyDescent="0.2">
      <c r="A32">
        <v>24510160100</v>
      </c>
      <c r="B32" t="s">
        <v>126</v>
      </c>
      <c r="C32" s="7">
        <v>0.8841</v>
      </c>
      <c r="D32">
        <v>18483</v>
      </c>
    </row>
    <row r="33" spans="1:4" x14ac:dyDescent="0.2">
      <c r="A33">
        <v>24510090800</v>
      </c>
      <c r="B33" t="s">
        <v>134</v>
      </c>
      <c r="C33" s="7">
        <v>0.89590000000000003</v>
      </c>
      <c r="D33">
        <v>18484</v>
      </c>
    </row>
    <row r="34" spans="1:4" x14ac:dyDescent="0.2">
      <c r="A34">
        <v>24510200200</v>
      </c>
      <c r="B34" t="s">
        <v>115</v>
      </c>
      <c r="C34" s="7">
        <v>0.92789999999999995</v>
      </c>
      <c r="D34">
        <v>18492</v>
      </c>
    </row>
    <row r="35" spans="1:4" x14ac:dyDescent="0.2">
      <c r="A35">
        <v>24510140200</v>
      </c>
      <c r="B35" t="s">
        <v>136</v>
      </c>
      <c r="C35" s="7">
        <v>0.91459999999999997</v>
      </c>
      <c r="D35">
        <v>18504</v>
      </c>
    </row>
    <row r="36" spans="1:4" x14ac:dyDescent="0.2">
      <c r="A36">
        <v>24510070200</v>
      </c>
      <c r="B36" t="s">
        <v>130</v>
      </c>
      <c r="C36" s="7">
        <v>0.91090000000000004</v>
      </c>
      <c r="D36">
        <v>18511</v>
      </c>
    </row>
    <row r="37" spans="1:4" x14ac:dyDescent="0.2">
      <c r="A37">
        <v>24510070400</v>
      </c>
      <c r="B37" t="s">
        <v>137</v>
      </c>
      <c r="C37" s="7">
        <v>0.89119999999999999</v>
      </c>
      <c r="D37">
        <v>18694</v>
      </c>
    </row>
    <row r="38" spans="1:4" x14ac:dyDescent="0.2">
      <c r="A38">
        <v>24510030100</v>
      </c>
      <c r="B38" t="s">
        <v>131</v>
      </c>
      <c r="C38" s="7">
        <v>0.90010000000000001</v>
      </c>
      <c r="D38">
        <v>18742</v>
      </c>
    </row>
    <row r="39" spans="1:4" x14ac:dyDescent="0.2">
      <c r="A39">
        <v>24510250402</v>
      </c>
      <c r="B39" t="s">
        <v>47</v>
      </c>
      <c r="C39" s="7">
        <v>0.77359999999999995</v>
      </c>
      <c r="D39">
        <v>18786</v>
      </c>
    </row>
    <row r="40" spans="1:4" x14ac:dyDescent="0.2">
      <c r="A40">
        <v>24510150400</v>
      </c>
      <c r="B40" t="s">
        <v>125</v>
      </c>
      <c r="C40" s="7">
        <v>0.9042</v>
      </c>
      <c r="D40">
        <v>18821</v>
      </c>
    </row>
    <row r="41" spans="1:4" x14ac:dyDescent="0.2">
      <c r="A41">
        <v>24510120500</v>
      </c>
      <c r="B41" t="s">
        <v>119</v>
      </c>
      <c r="C41" s="7">
        <v>0.90159999999999996</v>
      </c>
      <c r="D41">
        <v>18824</v>
      </c>
    </row>
    <row r="42" spans="1:4" x14ac:dyDescent="0.2">
      <c r="A42">
        <v>24510210200</v>
      </c>
      <c r="B42" t="s">
        <v>86</v>
      </c>
      <c r="C42" s="7">
        <v>0.85809999999999997</v>
      </c>
      <c r="D42">
        <v>18843</v>
      </c>
    </row>
    <row r="43" spans="1:4" x14ac:dyDescent="0.2">
      <c r="A43">
        <v>24510150600</v>
      </c>
      <c r="B43" t="s">
        <v>128</v>
      </c>
      <c r="C43" s="7">
        <v>0.8972</v>
      </c>
      <c r="D43">
        <v>18863</v>
      </c>
    </row>
    <row r="44" spans="1:4" x14ac:dyDescent="0.2">
      <c r="A44">
        <v>24510160300</v>
      </c>
      <c r="B44" t="s">
        <v>127</v>
      </c>
      <c r="C44" s="7">
        <v>0.89929999999999999</v>
      </c>
      <c r="D44">
        <v>18970</v>
      </c>
    </row>
    <row r="45" spans="1:4" x14ac:dyDescent="0.2">
      <c r="A45">
        <v>24510180300</v>
      </c>
      <c r="B45" t="s">
        <v>108</v>
      </c>
      <c r="C45" s="7">
        <v>0.86419999999999997</v>
      </c>
      <c r="D45">
        <v>19083</v>
      </c>
    </row>
    <row r="46" spans="1:4" x14ac:dyDescent="0.2">
      <c r="A46">
        <v>24510150200</v>
      </c>
      <c r="B46" t="s">
        <v>127</v>
      </c>
      <c r="C46" s="7">
        <v>0.90449999999999997</v>
      </c>
      <c r="D46">
        <v>19198</v>
      </c>
    </row>
    <row r="47" spans="1:4" x14ac:dyDescent="0.2">
      <c r="A47">
        <v>24510160200</v>
      </c>
      <c r="B47" t="s">
        <v>127</v>
      </c>
      <c r="C47" s="7">
        <v>0.9204</v>
      </c>
      <c r="D47">
        <v>19207</v>
      </c>
    </row>
    <row r="48" spans="1:4" x14ac:dyDescent="0.2">
      <c r="A48">
        <v>24510260404</v>
      </c>
      <c r="B48" t="s">
        <v>68</v>
      </c>
      <c r="C48" s="7">
        <v>0.84950000000000003</v>
      </c>
      <c r="D48">
        <v>19267</v>
      </c>
    </row>
    <row r="49" spans="1:4" x14ac:dyDescent="0.2">
      <c r="A49">
        <v>24510080400</v>
      </c>
      <c r="B49" t="s">
        <v>123</v>
      </c>
      <c r="C49" s="7">
        <v>0.89410000000000001</v>
      </c>
      <c r="D49">
        <v>19277</v>
      </c>
    </row>
    <row r="50" spans="1:4" x14ac:dyDescent="0.2">
      <c r="A50">
        <v>24510130300</v>
      </c>
      <c r="B50" t="s">
        <v>124</v>
      </c>
      <c r="C50" s="7">
        <v>0.91120000000000001</v>
      </c>
      <c r="D50">
        <v>19321</v>
      </c>
    </row>
    <row r="51" spans="1:4" x14ac:dyDescent="0.2">
      <c r="A51">
        <v>24510120600</v>
      </c>
      <c r="B51" t="s">
        <v>99</v>
      </c>
      <c r="C51" s="7">
        <v>0.83579999999999999</v>
      </c>
      <c r="D51">
        <v>19414</v>
      </c>
    </row>
    <row r="52" spans="1:4" x14ac:dyDescent="0.2">
      <c r="A52">
        <v>24510271802</v>
      </c>
      <c r="B52" t="s">
        <v>121</v>
      </c>
      <c r="C52" s="7">
        <v>0.87239999999999995</v>
      </c>
      <c r="D52">
        <v>19455</v>
      </c>
    </row>
    <row r="53" spans="1:4" x14ac:dyDescent="0.2">
      <c r="A53">
        <v>24510120700</v>
      </c>
      <c r="B53" t="s">
        <v>87</v>
      </c>
      <c r="C53" s="7">
        <v>0.77980000000000005</v>
      </c>
      <c r="D53">
        <v>19475</v>
      </c>
    </row>
    <row r="54" spans="1:4" x14ac:dyDescent="0.2">
      <c r="A54">
        <v>24510160700</v>
      </c>
      <c r="B54" t="s">
        <v>114</v>
      </c>
      <c r="C54" s="7">
        <v>0.87019999999999997</v>
      </c>
      <c r="D54">
        <v>19546</v>
      </c>
    </row>
    <row r="55" spans="1:4" x14ac:dyDescent="0.2">
      <c r="A55">
        <v>24510160400</v>
      </c>
      <c r="B55" t="s">
        <v>132</v>
      </c>
      <c r="C55" s="7">
        <v>0.8851</v>
      </c>
      <c r="D55">
        <v>19575</v>
      </c>
    </row>
    <row r="56" spans="1:4" x14ac:dyDescent="0.2">
      <c r="A56">
        <v>24510110100</v>
      </c>
      <c r="B56" t="s">
        <v>58</v>
      </c>
      <c r="C56" s="7">
        <v>0.66569999999999996</v>
      </c>
      <c r="D56">
        <v>19623</v>
      </c>
    </row>
    <row r="57" spans="1:4" x14ac:dyDescent="0.2">
      <c r="A57">
        <v>24510060300</v>
      </c>
      <c r="B57" t="s">
        <v>122</v>
      </c>
      <c r="C57" s="7">
        <v>0.871</v>
      </c>
      <c r="D57">
        <v>19672</v>
      </c>
    </row>
    <row r="58" spans="1:4" x14ac:dyDescent="0.2">
      <c r="A58">
        <v>24510150300</v>
      </c>
      <c r="B58" t="s">
        <v>106</v>
      </c>
      <c r="C58" s="7">
        <v>0.92100000000000004</v>
      </c>
      <c r="D58">
        <v>19755</v>
      </c>
    </row>
    <row r="59" spans="1:4" x14ac:dyDescent="0.2">
      <c r="A59">
        <v>24510080600</v>
      </c>
      <c r="B59" t="s">
        <v>123</v>
      </c>
      <c r="C59" s="7">
        <v>0.87980000000000003</v>
      </c>
      <c r="D59">
        <v>19946</v>
      </c>
    </row>
    <row r="60" spans="1:4" x14ac:dyDescent="0.2">
      <c r="A60">
        <v>24510151300</v>
      </c>
      <c r="B60" t="s">
        <v>97</v>
      </c>
      <c r="C60" s="7">
        <v>0.88900000000000001</v>
      </c>
      <c r="D60">
        <v>19963</v>
      </c>
    </row>
    <row r="61" spans="1:4" x14ac:dyDescent="0.2">
      <c r="A61">
        <v>24510250203</v>
      </c>
      <c r="B61" t="s">
        <v>110</v>
      </c>
      <c r="C61" s="7">
        <v>0.86619999999999997</v>
      </c>
      <c r="D61">
        <v>20019</v>
      </c>
    </row>
    <row r="62" spans="1:4" x14ac:dyDescent="0.2">
      <c r="A62">
        <v>24510130200</v>
      </c>
      <c r="B62" t="s">
        <v>117</v>
      </c>
      <c r="C62" s="7">
        <v>0.88980000000000004</v>
      </c>
      <c r="D62">
        <v>20187</v>
      </c>
    </row>
    <row r="63" spans="1:4" x14ac:dyDescent="0.2">
      <c r="A63">
        <v>24510261000</v>
      </c>
      <c r="B63" t="s">
        <v>65</v>
      </c>
      <c r="C63" s="7">
        <v>0.85540000000000005</v>
      </c>
      <c r="D63">
        <v>20252</v>
      </c>
    </row>
    <row r="64" spans="1:4" x14ac:dyDescent="0.2">
      <c r="A64">
        <v>24510090600</v>
      </c>
      <c r="B64" t="s">
        <v>112</v>
      </c>
      <c r="C64" s="7">
        <v>0.88560000000000005</v>
      </c>
      <c r="D64">
        <v>20409</v>
      </c>
    </row>
    <row r="65" spans="1:4" x14ac:dyDescent="0.2">
      <c r="A65">
        <v>24510120300</v>
      </c>
      <c r="B65" t="s">
        <v>107</v>
      </c>
      <c r="C65" s="7">
        <v>0.86639999999999995</v>
      </c>
      <c r="D65">
        <v>20647</v>
      </c>
    </row>
    <row r="66" spans="1:4" x14ac:dyDescent="0.2">
      <c r="A66">
        <v>24510130400</v>
      </c>
      <c r="B66" t="s">
        <v>98</v>
      </c>
      <c r="C66" s="7">
        <v>0.88970000000000005</v>
      </c>
      <c r="D66">
        <v>20784</v>
      </c>
    </row>
    <row r="67" spans="1:4" x14ac:dyDescent="0.2">
      <c r="A67">
        <v>24510080302</v>
      </c>
      <c r="B67" t="s">
        <v>113</v>
      </c>
      <c r="C67" s="7">
        <v>0.8952</v>
      </c>
      <c r="D67">
        <v>20921</v>
      </c>
    </row>
    <row r="68" spans="1:4" x14ac:dyDescent="0.2">
      <c r="A68">
        <v>24510080500</v>
      </c>
      <c r="B68" t="s">
        <v>101</v>
      </c>
      <c r="C68" s="7">
        <v>0.9083</v>
      </c>
      <c r="D68">
        <v>20931</v>
      </c>
    </row>
    <row r="69" spans="1:4" x14ac:dyDescent="0.2">
      <c r="A69">
        <v>24510240300</v>
      </c>
      <c r="B69" t="s">
        <v>19</v>
      </c>
      <c r="C69" s="7">
        <v>0.77900000000000003</v>
      </c>
      <c r="D69">
        <v>20985</v>
      </c>
    </row>
    <row r="70" spans="1:4" x14ac:dyDescent="0.2">
      <c r="A70">
        <v>24510270701</v>
      </c>
      <c r="B70" t="s">
        <v>36</v>
      </c>
      <c r="C70" s="7">
        <v>0.84760000000000002</v>
      </c>
      <c r="D70">
        <v>21003</v>
      </c>
    </row>
    <row r="71" spans="1:4" x14ac:dyDescent="0.2">
      <c r="A71">
        <v>24510200702</v>
      </c>
      <c r="B71" t="s">
        <v>100</v>
      </c>
      <c r="C71" s="7">
        <v>0.89190000000000003</v>
      </c>
      <c r="D71">
        <v>21015</v>
      </c>
    </row>
    <row r="72" spans="1:4" x14ac:dyDescent="0.2">
      <c r="A72">
        <v>24510120400</v>
      </c>
      <c r="B72" t="s">
        <v>120</v>
      </c>
      <c r="C72" s="7">
        <v>0.92500000000000004</v>
      </c>
      <c r="D72">
        <v>21031</v>
      </c>
    </row>
    <row r="73" spans="1:4" x14ac:dyDescent="0.2">
      <c r="A73">
        <v>24510271600</v>
      </c>
      <c r="B73" t="s">
        <v>116</v>
      </c>
      <c r="C73" s="7">
        <v>0.87519999999999998</v>
      </c>
      <c r="D73">
        <v>21061</v>
      </c>
    </row>
    <row r="74" spans="1:4" x14ac:dyDescent="0.2">
      <c r="A74">
        <v>24510260401</v>
      </c>
      <c r="B74" t="s">
        <v>69</v>
      </c>
      <c r="C74" s="7">
        <v>0.82509999999999994</v>
      </c>
      <c r="D74">
        <v>21070</v>
      </c>
    </row>
    <row r="75" spans="1:4" x14ac:dyDescent="0.2">
      <c r="A75">
        <v>24510250205</v>
      </c>
      <c r="B75" t="s">
        <v>82</v>
      </c>
      <c r="C75" s="7">
        <v>0.86550000000000005</v>
      </c>
      <c r="D75">
        <v>21078</v>
      </c>
    </row>
    <row r="76" spans="1:4" x14ac:dyDescent="0.2">
      <c r="A76">
        <v>24510110200</v>
      </c>
      <c r="B76" t="s">
        <v>58</v>
      </c>
      <c r="C76" s="7">
        <v>0.66769999999999996</v>
      </c>
      <c r="D76">
        <v>21126</v>
      </c>
    </row>
    <row r="77" spans="1:4" x14ac:dyDescent="0.2">
      <c r="A77">
        <v>24510160802</v>
      </c>
      <c r="B77" t="s">
        <v>95</v>
      </c>
      <c r="C77" s="7">
        <v>0.88319999999999999</v>
      </c>
      <c r="D77">
        <v>21223</v>
      </c>
    </row>
    <row r="78" spans="1:4" x14ac:dyDescent="0.2">
      <c r="A78">
        <v>24510090700</v>
      </c>
      <c r="B78" t="s">
        <v>112</v>
      </c>
      <c r="C78" s="7">
        <v>0.89739999999999998</v>
      </c>
      <c r="D78">
        <v>21237</v>
      </c>
    </row>
    <row r="79" spans="1:4" x14ac:dyDescent="0.2">
      <c r="A79">
        <v>24510090500</v>
      </c>
      <c r="B79" t="s">
        <v>93</v>
      </c>
      <c r="C79" s="7">
        <v>0.87470000000000003</v>
      </c>
      <c r="D79">
        <v>21247</v>
      </c>
    </row>
    <row r="80" spans="1:4" x14ac:dyDescent="0.2">
      <c r="A80">
        <v>24510151200</v>
      </c>
      <c r="B80" t="s">
        <v>109</v>
      </c>
      <c r="C80" s="7">
        <v>0.88660000000000005</v>
      </c>
      <c r="D80">
        <v>21261</v>
      </c>
    </row>
    <row r="81" spans="1:4" x14ac:dyDescent="0.2">
      <c r="A81">
        <v>24510250207</v>
      </c>
      <c r="B81" t="s">
        <v>110</v>
      </c>
      <c r="C81" s="7">
        <v>0.87829999999999997</v>
      </c>
      <c r="D81">
        <v>21337</v>
      </c>
    </row>
    <row r="82" spans="1:4" x14ac:dyDescent="0.2">
      <c r="A82">
        <v>24510271801</v>
      </c>
      <c r="B82" t="s">
        <v>104</v>
      </c>
      <c r="C82" s="7">
        <v>0.87219999999999998</v>
      </c>
      <c r="D82">
        <v>21359</v>
      </c>
    </row>
    <row r="83" spans="1:4" x14ac:dyDescent="0.2">
      <c r="A83">
        <v>24510080102</v>
      </c>
      <c r="B83" t="s">
        <v>62</v>
      </c>
      <c r="C83" s="7">
        <v>0.89670000000000005</v>
      </c>
      <c r="D83">
        <v>21515</v>
      </c>
    </row>
    <row r="84" spans="1:4" x14ac:dyDescent="0.2">
      <c r="A84">
        <v>24510160600</v>
      </c>
      <c r="B84" t="s">
        <v>105</v>
      </c>
      <c r="C84" s="7">
        <v>0.9073</v>
      </c>
      <c r="D84">
        <v>21565</v>
      </c>
    </row>
    <row r="85" spans="1:4" x14ac:dyDescent="0.2">
      <c r="A85">
        <v>24510020200</v>
      </c>
      <c r="B85" t="s">
        <v>57</v>
      </c>
      <c r="C85" s="7">
        <v>0.78769999999999996</v>
      </c>
      <c r="D85">
        <v>21577</v>
      </c>
    </row>
    <row r="86" spans="1:4" x14ac:dyDescent="0.2">
      <c r="A86">
        <v>24510260301</v>
      </c>
      <c r="B86" t="s">
        <v>62</v>
      </c>
      <c r="C86" s="7">
        <v>0.88</v>
      </c>
      <c r="D86">
        <v>21636</v>
      </c>
    </row>
    <row r="87" spans="1:4" x14ac:dyDescent="0.2">
      <c r="A87">
        <v>24510160500</v>
      </c>
      <c r="B87" t="s">
        <v>111</v>
      </c>
      <c r="C87" s="7">
        <v>0.87639999999999996</v>
      </c>
      <c r="D87">
        <v>21639</v>
      </c>
    </row>
    <row r="88" spans="1:4" x14ac:dyDescent="0.2">
      <c r="A88">
        <v>24510090400</v>
      </c>
      <c r="B88" t="s">
        <v>93</v>
      </c>
      <c r="C88" s="7">
        <v>0.83360000000000001</v>
      </c>
      <c r="D88">
        <v>21902</v>
      </c>
    </row>
    <row r="89" spans="1:4" x14ac:dyDescent="0.2">
      <c r="A89">
        <v>24510151000</v>
      </c>
      <c r="B89" t="s">
        <v>96</v>
      </c>
      <c r="C89" s="7">
        <v>0.86429999999999996</v>
      </c>
      <c r="D89">
        <v>22013</v>
      </c>
    </row>
    <row r="90" spans="1:4" x14ac:dyDescent="0.2">
      <c r="A90">
        <v>24510260800</v>
      </c>
      <c r="B90" t="s">
        <v>68</v>
      </c>
      <c r="C90" s="7">
        <v>0.8296</v>
      </c>
      <c r="D90">
        <v>22071</v>
      </c>
    </row>
    <row r="91" spans="1:4" x14ac:dyDescent="0.2">
      <c r="A91">
        <v>24510280101</v>
      </c>
      <c r="B91" t="s">
        <v>94</v>
      </c>
      <c r="C91" s="7">
        <v>0.83720000000000006</v>
      </c>
      <c r="D91">
        <v>22077</v>
      </c>
    </row>
    <row r="92" spans="1:4" x14ac:dyDescent="0.2">
      <c r="A92">
        <v>24510260403</v>
      </c>
      <c r="B92" t="s">
        <v>103</v>
      </c>
      <c r="C92" s="7">
        <v>0.87360000000000004</v>
      </c>
      <c r="D92">
        <v>22133</v>
      </c>
    </row>
    <row r="93" spans="1:4" x14ac:dyDescent="0.2">
      <c r="A93">
        <v>24510250401</v>
      </c>
      <c r="B93" t="s">
        <v>47</v>
      </c>
      <c r="C93" s="7">
        <v>0.80700000000000005</v>
      </c>
      <c r="D93">
        <v>22234</v>
      </c>
    </row>
    <row r="94" spans="1:4" x14ac:dyDescent="0.2">
      <c r="A94">
        <v>24510180200</v>
      </c>
      <c r="B94" t="s">
        <v>102</v>
      </c>
      <c r="C94" s="7">
        <v>0.92069999999999996</v>
      </c>
      <c r="D94">
        <v>22255</v>
      </c>
    </row>
    <row r="95" spans="1:4" x14ac:dyDescent="0.2">
      <c r="A95">
        <v>24510271700</v>
      </c>
      <c r="B95" t="s">
        <v>97</v>
      </c>
      <c r="C95" s="7">
        <v>0.87150000000000005</v>
      </c>
      <c r="D95">
        <v>22274</v>
      </c>
    </row>
    <row r="96" spans="1:4" x14ac:dyDescent="0.2">
      <c r="A96">
        <v>24510200100</v>
      </c>
      <c r="B96" t="s">
        <v>115</v>
      </c>
      <c r="C96" s="7">
        <v>0.9143</v>
      </c>
      <c r="D96">
        <v>22333</v>
      </c>
    </row>
    <row r="97" spans="1:4" x14ac:dyDescent="0.2">
      <c r="A97">
        <v>24510160801</v>
      </c>
      <c r="B97" t="s">
        <v>95</v>
      </c>
      <c r="C97" s="7">
        <v>0.85940000000000005</v>
      </c>
      <c r="D97">
        <v>22336</v>
      </c>
    </row>
    <row r="98" spans="1:4" x14ac:dyDescent="0.2">
      <c r="A98">
        <v>24510271002</v>
      </c>
      <c r="B98" t="s">
        <v>92</v>
      </c>
      <c r="C98" s="7">
        <v>0.87119999999999997</v>
      </c>
      <c r="D98">
        <v>22368</v>
      </c>
    </row>
    <row r="99" spans="1:4" x14ac:dyDescent="0.2">
      <c r="A99">
        <v>24510260402</v>
      </c>
      <c r="B99" t="s">
        <v>66</v>
      </c>
      <c r="C99" s="7">
        <v>0.85960000000000003</v>
      </c>
      <c r="D99">
        <v>22371</v>
      </c>
    </row>
    <row r="100" spans="1:4" x14ac:dyDescent="0.2">
      <c r="A100">
        <v>24510020100</v>
      </c>
      <c r="B100" t="s">
        <v>57</v>
      </c>
      <c r="C100" s="7">
        <v>0.80979999999999996</v>
      </c>
      <c r="D100">
        <v>22647</v>
      </c>
    </row>
    <row r="101" spans="1:4" x14ac:dyDescent="0.2">
      <c r="A101">
        <v>24510130804</v>
      </c>
      <c r="B101" t="s">
        <v>39</v>
      </c>
      <c r="C101" s="7">
        <v>0.81289999999999996</v>
      </c>
      <c r="D101">
        <v>22770</v>
      </c>
    </row>
    <row r="102" spans="1:4" x14ac:dyDescent="0.2">
      <c r="A102">
        <v>24510150500</v>
      </c>
      <c r="B102" t="s">
        <v>91</v>
      </c>
      <c r="C102" s="7">
        <v>0.86929999999999996</v>
      </c>
      <c r="D102">
        <v>22829</v>
      </c>
    </row>
    <row r="103" spans="1:4" x14ac:dyDescent="0.2">
      <c r="A103">
        <v>24510260203</v>
      </c>
      <c r="B103" t="s">
        <v>66</v>
      </c>
      <c r="C103" s="7">
        <v>0.86729999999999996</v>
      </c>
      <c r="D103">
        <v>22966</v>
      </c>
    </row>
    <row r="104" spans="1:4" x14ac:dyDescent="0.2">
      <c r="A104">
        <v>24510200701</v>
      </c>
      <c r="B104" t="s">
        <v>88</v>
      </c>
      <c r="C104" s="7">
        <v>0.89170000000000005</v>
      </c>
      <c r="D104">
        <v>23051</v>
      </c>
    </row>
    <row r="105" spans="1:4" x14ac:dyDescent="0.2">
      <c r="A105">
        <v>24510280102</v>
      </c>
      <c r="B105" t="s">
        <v>51</v>
      </c>
      <c r="C105" s="7">
        <v>0.83420000000000005</v>
      </c>
      <c r="D105">
        <v>23149</v>
      </c>
    </row>
    <row r="106" spans="1:4" x14ac:dyDescent="0.2">
      <c r="A106">
        <v>24510170100</v>
      </c>
      <c r="B106" t="s">
        <v>58</v>
      </c>
      <c r="C106" s="7">
        <v>0.91320000000000001</v>
      </c>
      <c r="D106">
        <v>23163</v>
      </c>
    </row>
    <row r="107" spans="1:4" x14ac:dyDescent="0.2">
      <c r="A107">
        <v>24510030200</v>
      </c>
      <c r="B107" t="s">
        <v>76</v>
      </c>
      <c r="C107" s="7">
        <v>0.7359</v>
      </c>
      <c r="D107">
        <v>23163</v>
      </c>
    </row>
    <row r="108" spans="1:4" x14ac:dyDescent="0.2">
      <c r="A108">
        <v>24510260202</v>
      </c>
      <c r="B108" t="s">
        <v>83</v>
      </c>
      <c r="C108" s="7">
        <v>0.86380000000000001</v>
      </c>
      <c r="D108">
        <v>23197</v>
      </c>
    </row>
    <row r="109" spans="1:4" x14ac:dyDescent="0.2">
      <c r="A109">
        <v>24510090100</v>
      </c>
      <c r="B109" t="s">
        <v>63</v>
      </c>
      <c r="C109" s="7">
        <v>0.87519999999999998</v>
      </c>
      <c r="D109">
        <v>23212</v>
      </c>
    </row>
    <row r="110" spans="1:4" x14ac:dyDescent="0.2">
      <c r="A110">
        <v>24510150701</v>
      </c>
      <c r="B110" t="s">
        <v>81</v>
      </c>
      <c r="C110" s="7">
        <v>0.84530000000000005</v>
      </c>
      <c r="D110">
        <v>23244</v>
      </c>
    </row>
    <row r="111" spans="1:4" x14ac:dyDescent="0.2">
      <c r="A111">
        <v>24510250303</v>
      </c>
      <c r="B111" t="s">
        <v>56</v>
      </c>
      <c r="C111" s="7">
        <v>0.82189999999999996</v>
      </c>
      <c r="D111">
        <v>23272</v>
      </c>
    </row>
    <row r="112" spans="1:4" x14ac:dyDescent="0.2">
      <c r="A112">
        <v>24510150900</v>
      </c>
      <c r="B112" t="s">
        <v>89</v>
      </c>
      <c r="C112" s="7">
        <v>0.87839999999999996</v>
      </c>
      <c r="D112">
        <v>23512</v>
      </c>
    </row>
    <row r="113" spans="1:4" x14ac:dyDescent="0.2">
      <c r="A113">
        <v>24510200800</v>
      </c>
      <c r="B113" t="s">
        <v>79</v>
      </c>
      <c r="C113" s="7">
        <v>0.85699999999999998</v>
      </c>
      <c r="D113">
        <v>23633</v>
      </c>
    </row>
    <row r="114" spans="1:4" x14ac:dyDescent="0.2">
      <c r="A114">
        <v>24510260201</v>
      </c>
      <c r="B114" t="s">
        <v>66</v>
      </c>
      <c r="C114" s="7">
        <v>0.8175</v>
      </c>
      <c r="D114">
        <v>23780</v>
      </c>
    </row>
    <row r="115" spans="1:4" x14ac:dyDescent="0.2">
      <c r="A115">
        <v>24510250102</v>
      </c>
      <c r="B115" t="s">
        <v>84</v>
      </c>
      <c r="C115" s="7">
        <v>0.85040000000000004</v>
      </c>
      <c r="D115">
        <v>23958</v>
      </c>
    </row>
    <row r="116" spans="1:4" x14ac:dyDescent="0.2">
      <c r="A116">
        <v>24510260700</v>
      </c>
      <c r="B116" t="s">
        <v>60</v>
      </c>
      <c r="C116" s="7">
        <v>0.78580000000000005</v>
      </c>
      <c r="D116">
        <v>24042</v>
      </c>
    </row>
    <row r="117" spans="1:4" x14ac:dyDescent="0.2">
      <c r="A117">
        <v>24510280302</v>
      </c>
      <c r="B117" t="s">
        <v>80</v>
      </c>
      <c r="C117" s="7">
        <v>0.84340000000000004</v>
      </c>
      <c r="D117">
        <v>24058</v>
      </c>
    </row>
    <row r="118" spans="1:4" x14ac:dyDescent="0.2">
      <c r="A118">
        <v>24510230200</v>
      </c>
      <c r="B118" t="s">
        <v>54</v>
      </c>
      <c r="C118" s="7">
        <v>0.82550000000000001</v>
      </c>
      <c r="D118">
        <v>24138</v>
      </c>
    </row>
    <row r="119" spans="1:4" x14ac:dyDescent="0.2">
      <c r="A119">
        <v>24510010200</v>
      </c>
      <c r="B119" t="s">
        <v>65</v>
      </c>
      <c r="C119" s="7">
        <v>0.85519999999999996</v>
      </c>
      <c r="D119">
        <v>24247</v>
      </c>
    </row>
    <row r="120" spans="1:4" x14ac:dyDescent="0.2">
      <c r="A120">
        <v>24510280301</v>
      </c>
      <c r="B120" t="s">
        <v>51</v>
      </c>
      <c r="C120" s="7">
        <v>0.84179999999999999</v>
      </c>
      <c r="D120">
        <v>24477</v>
      </c>
    </row>
    <row r="121" spans="1:4" x14ac:dyDescent="0.2">
      <c r="A121">
        <v>24510150800</v>
      </c>
      <c r="B121" t="s">
        <v>85</v>
      </c>
      <c r="C121" s="7">
        <v>0.85819999999999996</v>
      </c>
      <c r="D121">
        <v>24478</v>
      </c>
    </row>
    <row r="122" spans="1:4" x14ac:dyDescent="0.2">
      <c r="A122">
        <v>24510280404</v>
      </c>
      <c r="B122" t="s">
        <v>79</v>
      </c>
      <c r="C122" s="7">
        <v>0.87749999999999995</v>
      </c>
      <c r="D122">
        <v>24782</v>
      </c>
    </row>
    <row r="123" spans="1:4" x14ac:dyDescent="0.2">
      <c r="A123">
        <v>24510280402</v>
      </c>
      <c r="B123" t="s">
        <v>77</v>
      </c>
      <c r="C123" s="7">
        <v>0.88429999999999997</v>
      </c>
      <c r="D123">
        <v>24832</v>
      </c>
    </row>
    <row r="124" spans="1:4" x14ac:dyDescent="0.2">
      <c r="A124">
        <v>24510090300</v>
      </c>
      <c r="B124" t="s">
        <v>63</v>
      </c>
      <c r="C124" s="7">
        <v>0.83879999999999999</v>
      </c>
      <c r="D124">
        <v>24958</v>
      </c>
    </row>
    <row r="125" spans="1:4" x14ac:dyDescent="0.2">
      <c r="A125">
        <v>24510010300</v>
      </c>
      <c r="B125" t="s">
        <v>27</v>
      </c>
      <c r="C125" s="7">
        <v>0.80930000000000002</v>
      </c>
      <c r="D125">
        <v>24983</v>
      </c>
    </row>
    <row r="126" spans="1:4" x14ac:dyDescent="0.2">
      <c r="A126">
        <v>24005403202</v>
      </c>
      <c r="B126" t="s">
        <v>51</v>
      </c>
      <c r="C126" s="7">
        <v>0.73150000000000004</v>
      </c>
      <c r="D126">
        <v>25215</v>
      </c>
    </row>
    <row r="127" spans="1:4" x14ac:dyDescent="0.2">
      <c r="A127">
        <v>24510270805</v>
      </c>
      <c r="B127" t="s">
        <v>75</v>
      </c>
      <c r="C127" s="7">
        <v>0.82679999999999998</v>
      </c>
      <c r="D127">
        <v>25372</v>
      </c>
    </row>
    <row r="128" spans="1:4" x14ac:dyDescent="0.2">
      <c r="A128">
        <v>24510130806</v>
      </c>
      <c r="B128" t="s">
        <v>59</v>
      </c>
      <c r="C128" s="7">
        <v>0.78369999999999995</v>
      </c>
      <c r="D128">
        <v>25508</v>
      </c>
    </row>
    <row r="129" spans="1:4" x14ac:dyDescent="0.2">
      <c r="A129">
        <v>24510250206</v>
      </c>
      <c r="B129" t="s">
        <v>56</v>
      </c>
      <c r="C129" s="7">
        <v>0.80379999999999996</v>
      </c>
      <c r="D129">
        <v>25518</v>
      </c>
    </row>
    <row r="130" spans="1:4" x14ac:dyDescent="0.2">
      <c r="A130">
        <v>24510260605</v>
      </c>
      <c r="B130" t="s">
        <v>52</v>
      </c>
      <c r="C130" s="7">
        <v>0.79300000000000004</v>
      </c>
      <c r="D130">
        <v>25520</v>
      </c>
    </row>
    <row r="131" spans="1:4" x14ac:dyDescent="0.2">
      <c r="A131">
        <v>24510260302</v>
      </c>
      <c r="B131" t="s">
        <v>62</v>
      </c>
      <c r="C131" s="7">
        <v>0.85560000000000003</v>
      </c>
      <c r="D131">
        <v>25686</v>
      </c>
    </row>
    <row r="132" spans="1:4" x14ac:dyDescent="0.2">
      <c r="A132">
        <v>24510130600</v>
      </c>
      <c r="B132" t="s">
        <v>39</v>
      </c>
      <c r="C132" s="7">
        <v>0.76649999999999996</v>
      </c>
      <c r="D132">
        <v>25718</v>
      </c>
    </row>
    <row r="133" spans="1:4" x14ac:dyDescent="0.2">
      <c r="A133">
        <v>24510272007</v>
      </c>
      <c r="B133" t="s">
        <v>42</v>
      </c>
      <c r="C133" s="7">
        <v>0.67120000000000002</v>
      </c>
      <c r="D133">
        <v>25872</v>
      </c>
    </row>
    <row r="134" spans="1:4" x14ac:dyDescent="0.2">
      <c r="A134">
        <v>24510280200</v>
      </c>
      <c r="B134" t="s">
        <v>51</v>
      </c>
      <c r="C134" s="7">
        <v>0.83720000000000006</v>
      </c>
      <c r="D134">
        <v>25949</v>
      </c>
    </row>
    <row r="135" spans="1:4" x14ac:dyDescent="0.2">
      <c r="A135">
        <v>24510271900</v>
      </c>
      <c r="B135" t="s">
        <v>38</v>
      </c>
      <c r="C135" s="7">
        <v>0.78029999999999999</v>
      </c>
      <c r="D135">
        <v>26015</v>
      </c>
    </row>
    <row r="136" spans="1:4" x14ac:dyDescent="0.2">
      <c r="A136">
        <v>24510250101</v>
      </c>
      <c r="B136" t="s">
        <v>73</v>
      </c>
      <c r="C136" s="7">
        <v>0.86850000000000005</v>
      </c>
      <c r="D136">
        <v>26218</v>
      </c>
    </row>
    <row r="137" spans="1:4" x14ac:dyDescent="0.2">
      <c r="A137">
        <v>24510010500</v>
      </c>
      <c r="B137" t="s">
        <v>57</v>
      </c>
      <c r="C137" s="7">
        <v>0.68369999999999997</v>
      </c>
      <c r="D137">
        <v>26226</v>
      </c>
    </row>
    <row r="138" spans="1:4" x14ac:dyDescent="0.2">
      <c r="A138">
        <v>24510270901</v>
      </c>
      <c r="B138" t="s">
        <v>74</v>
      </c>
      <c r="C138" s="7">
        <v>0.86150000000000004</v>
      </c>
      <c r="D138">
        <v>26246</v>
      </c>
    </row>
    <row r="139" spans="1:4" x14ac:dyDescent="0.2">
      <c r="A139">
        <v>24510151100</v>
      </c>
      <c r="B139" t="s">
        <v>72</v>
      </c>
      <c r="C139" s="7">
        <v>0.84540000000000004</v>
      </c>
      <c r="D139">
        <v>26312</v>
      </c>
    </row>
    <row r="140" spans="1:4" x14ac:dyDescent="0.2">
      <c r="A140">
        <v>24510150702</v>
      </c>
      <c r="B140" t="s">
        <v>78</v>
      </c>
      <c r="C140" s="7">
        <v>0.86799999999999999</v>
      </c>
      <c r="D140">
        <v>26666</v>
      </c>
    </row>
    <row r="141" spans="1:4" x14ac:dyDescent="0.2">
      <c r="A141">
        <v>24510260501</v>
      </c>
      <c r="B141" t="s">
        <v>48</v>
      </c>
      <c r="C141" s="7">
        <v>0.81899999999999995</v>
      </c>
      <c r="D141">
        <v>26814</v>
      </c>
    </row>
    <row r="142" spans="1:4" x14ac:dyDescent="0.2">
      <c r="A142">
        <v>24510270803</v>
      </c>
      <c r="B142" t="s">
        <v>67</v>
      </c>
      <c r="C142" s="7">
        <v>0.8105</v>
      </c>
      <c r="D142">
        <v>26856</v>
      </c>
    </row>
    <row r="143" spans="1:4" x14ac:dyDescent="0.2">
      <c r="A143">
        <v>24510270801</v>
      </c>
      <c r="B143" t="s">
        <v>70</v>
      </c>
      <c r="C143" s="7">
        <v>0.84740000000000004</v>
      </c>
      <c r="D143">
        <v>26874</v>
      </c>
    </row>
    <row r="144" spans="1:4" x14ac:dyDescent="0.2">
      <c r="A144">
        <v>24005401302</v>
      </c>
      <c r="B144" t="s">
        <v>51</v>
      </c>
      <c r="C144" s="7">
        <v>0.78490000000000004</v>
      </c>
      <c r="D144">
        <v>26999</v>
      </c>
    </row>
    <row r="145" spans="1:4" x14ac:dyDescent="0.2">
      <c r="A145">
        <v>24510270902</v>
      </c>
      <c r="B145" t="s">
        <v>71</v>
      </c>
      <c r="C145" s="7">
        <v>0.82989999999999997</v>
      </c>
      <c r="D145">
        <v>27017</v>
      </c>
    </row>
    <row r="146" spans="1:4" x14ac:dyDescent="0.2">
      <c r="A146">
        <v>24510270401</v>
      </c>
      <c r="B146" t="s">
        <v>28</v>
      </c>
      <c r="C146" s="7">
        <v>0.79179999999999995</v>
      </c>
      <c r="D146">
        <v>27033</v>
      </c>
    </row>
    <row r="147" spans="1:4" x14ac:dyDescent="0.2">
      <c r="A147">
        <v>24510240400</v>
      </c>
      <c r="B147" t="s">
        <v>45</v>
      </c>
      <c r="C147" s="7">
        <v>0.84699999999999998</v>
      </c>
      <c r="D147">
        <v>27057</v>
      </c>
    </row>
    <row r="148" spans="1:4" x14ac:dyDescent="0.2">
      <c r="A148">
        <v>24510260102</v>
      </c>
      <c r="B148" t="s">
        <v>66</v>
      </c>
      <c r="C148" s="7">
        <v>0.85109999999999997</v>
      </c>
      <c r="D148">
        <v>27066</v>
      </c>
    </row>
    <row r="149" spans="1:4" x14ac:dyDescent="0.2">
      <c r="A149">
        <v>24510080101</v>
      </c>
      <c r="B149" t="s">
        <v>62</v>
      </c>
      <c r="C149" s="7">
        <v>0.84219999999999995</v>
      </c>
      <c r="D149">
        <v>27120</v>
      </c>
    </row>
    <row r="150" spans="1:4" x14ac:dyDescent="0.2">
      <c r="A150">
        <v>24510270702</v>
      </c>
      <c r="B150" t="s">
        <v>36</v>
      </c>
      <c r="C150" s="7">
        <v>0.81859999999999999</v>
      </c>
      <c r="D150">
        <v>27141</v>
      </c>
    </row>
    <row r="151" spans="1:4" x14ac:dyDescent="0.2">
      <c r="A151">
        <v>24510260101</v>
      </c>
      <c r="B151" t="s">
        <v>53</v>
      </c>
      <c r="C151" s="7">
        <v>0.82569999999999999</v>
      </c>
      <c r="D151">
        <v>27213</v>
      </c>
    </row>
    <row r="152" spans="1:4" x14ac:dyDescent="0.2">
      <c r="A152">
        <v>24510261100</v>
      </c>
      <c r="B152" t="s">
        <v>27</v>
      </c>
      <c r="C152" s="7">
        <v>0.81489999999999996</v>
      </c>
      <c r="D152">
        <v>27541</v>
      </c>
    </row>
    <row r="153" spans="1:4" x14ac:dyDescent="0.2">
      <c r="A153">
        <v>24510040100</v>
      </c>
      <c r="B153" t="s">
        <v>58</v>
      </c>
      <c r="C153" s="7">
        <v>0.65680000000000005</v>
      </c>
      <c r="D153">
        <v>27593</v>
      </c>
    </row>
    <row r="154" spans="1:4" x14ac:dyDescent="0.2">
      <c r="A154">
        <v>24510270903</v>
      </c>
      <c r="B154" t="s">
        <v>61</v>
      </c>
      <c r="C154" s="7">
        <v>0.81540000000000001</v>
      </c>
      <c r="D154">
        <v>27612</v>
      </c>
    </row>
    <row r="155" spans="1:4" x14ac:dyDescent="0.2">
      <c r="A155">
        <v>24510130700</v>
      </c>
      <c r="B155" t="s">
        <v>39</v>
      </c>
      <c r="C155" s="7">
        <v>0.74760000000000004</v>
      </c>
      <c r="D155">
        <v>27631</v>
      </c>
    </row>
    <row r="156" spans="1:4" x14ac:dyDescent="0.2">
      <c r="A156">
        <v>24510272006</v>
      </c>
      <c r="B156" t="s">
        <v>38</v>
      </c>
      <c r="C156" s="7">
        <v>0.61580000000000001</v>
      </c>
      <c r="D156">
        <v>27663</v>
      </c>
    </row>
    <row r="157" spans="1:4" x14ac:dyDescent="0.2">
      <c r="A157">
        <v>24510270301</v>
      </c>
      <c r="B157" t="s">
        <v>41</v>
      </c>
      <c r="C157" s="7">
        <v>0.7964</v>
      </c>
      <c r="D157">
        <v>28209</v>
      </c>
    </row>
    <row r="158" spans="1:4" x14ac:dyDescent="0.2">
      <c r="A158">
        <v>24510250103</v>
      </c>
      <c r="B158" t="s">
        <v>31</v>
      </c>
      <c r="C158" s="7">
        <v>0.74180000000000001</v>
      </c>
      <c r="D158">
        <v>28314</v>
      </c>
    </row>
    <row r="159" spans="1:4" x14ac:dyDescent="0.2">
      <c r="A159">
        <v>24510270802</v>
      </c>
      <c r="B159" t="s">
        <v>64</v>
      </c>
      <c r="C159" s="7">
        <v>0.84660000000000002</v>
      </c>
      <c r="D159">
        <v>28407</v>
      </c>
    </row>
    <row r="160" spans="1:4" x14ac:dyDescent="0.2">
      <c r="A160">
        <v>24510240100</v>
      </c>
      <c r="B160" t="s">
        <v>29</v>
      </c>
      <c r="C160" s="7">
        <v>0.75849999999999995</v>
      </c>
      <c r="D160">
        <v>28528</v>
      </c>
    </row>
    <row r="161" spans="1:4" x14ac:dyDescent="0.2">
      <c r="A161">
        <v>24510010100</v>
      </c>
      <c r="B161" t="s">
        <v>27</v>
      </c>
      <c r="C161" s="7">
        <v>0.75519999999999998</v>
      </c>
      <c r="D161">
        <v>28566</v>
      </c>
    </row>
    <row r="162" spans="1:4" x14ac:dyDescent="0.2">
      <c r="A162">
        <v>24510090200</v>
      </c>
      <c r="B162" t="s">
        <v>63</v>
      </c>
      <c r="C162" s="7">
        <v>0.78239999999999998</v>
      </c>
      <c r="D162">
        <v>28832</v>
      </c>
    </row>
    <row r="163" spans="1:4" x14ac:dyDescent="0.2">
      <c r="A163">
        <v>24510140100</v>
      </c>
      <c r="B163" t="s">
        <v>44</v>
      </c>
      <c r="C163" s="7">
        <v>0.69399999999999995</v>
      </c>
      <c r="D163">
        <v>28926</v>
      </c>
    </row>
    <row r="164" spans="1:4" x14ac:dyDescent="0.2">
      <c r="A164">
        <v>24510271101</v>
      </c>
      <c r="B164" t="s">
        <v>35</v>
      </c>
      <c r="C164" s="7">
        <v>0.72629999999999995</v>
      </c>
      <c r="D164">
        <v>28958</v>
      </c>
    </row>
    <row r="165" spans="1:4" x14ac:dyDescent="0.2">
      <c r="A165">
        <v>24510130803</v>
      </c>
      <c r="B165" t="s">
        <v>49</v>
      </c>
      <c r="C165" s="7">
        <v>0.75849999999999995</v>
      </c>
      <c r="D165">
        <v>29004</v>
      </c>
    </row>
    <row r="166" spans="1:4" x14ac:dyDescent="0.2">
      <c r="A166">
        <v>24003750201</v>
      </c>
      <c r="B166" t="s">
        <v>47</v>
      </c>
      <c r="C166" s="7">
        <v>0.77969999999999995</v>
      </c>
      <c r="D166">
        <v>29204</v>
      </c>
    </row>
    <row r="167" spans="1:4" x14ac:dyDescent="0.2">
      <c r="A167">
        <v>24510270102</v>
      </c>
      <c r="B167" t="s">
        <v>32</v>
      </c>
      <c r="C167" s="7">
        <v>0.78439999999999999</v>
      </c>
      <c r="D167">
        <v>29343</v>
      </c>
    </row>
    <row r="168" spans="1:4" x14ac:dyDescent="0.2">
      <c r="A168">
        <v>24510010400</v>
      </c>
      <c r="B168" t="s">
        <v>27</v>
      </c>
      <c r="C168" s="7">
        <v>0.62080000000000002</v>
      </c>
      <c r="D168">
        <v>29977</v>
      </c>
    </row>
    <row r="169" spans="1:4" x14ac:dyDescent="0.2">
      <c r="A169">
        <v>24510270101</v>
      </c>
      <c r="B169" t="s">
        <v>34</v>
      </c>
      <c r="C169" s="7">
        <v>0.78359999999999996</v>
      </c>
      <c r="D169">
        <v>30012</v>
      </c>
    </row>
    <row r="170" spans="1:4" x14ac:dyDescent="0.2">
      <c r="A170">
        <v>24510270804</v>
      </c>
      <c r="B170" t="s">
        <v>30</v>
      </c>
      <c r="C170" s="7">
        <v>0.70240000000000002</v>
      </c>
      <c r="D170">
        <v>30017</v>
      </c>
    </row>
    <row r="171" spans="1:4" x14ac:dyDescent="0.2">
      <c r="A171">
        <v>24510280403</v>
      </c>
      <c r="B171" t="s">
        <v>43</v>
      </c>
      <c r="C171" s="7">
        <v>0.77700000000000002</v>
      </c>
      <c r="D171">
        <v>30115</v>
      </c>
    </row>
    <row r="172" spans="1:4" x14ac:dyDescent="0.2">
      <c r="A172">
        <v>24510272005</v>
      </c>
      <c r="B172" t="s">
        <v>14</v>
      </c>
      <c r="C172" s="7">
        <v>0.54649999999999999</v>
      </c>
      <c r="D172">
        <v>30136</v>
      </c>
    </row>
    <row r="173" spans="1:4" x14ac:dyDescent="0.2">
      <c r="A173">
        <v>24510270600</v>
      </c>
      <c r="B173" t="s">
        <v>36</v>
      </c>
      <c r="C173" s="7">
        <v>0.78110000000000002</v>
      </c>
      <c r="D173">
        <v>30776</v>
      </c>
    </row>
    <row r="174" spans="1:4" x14ac:dyDescent="0.2">
      <c r="A174">
        <v>24510270501</v>
      </c>
      <c r="B174" t="s">
        <v>24</v>
      </c>
      <c r="C174" s="7">
        <v>0.75760000000000005</v>
      </c>
      <c r="D174">
        <v>31089</v>
      </c>
    </row>
    <row r="175" spans="1:4" x14ac:dyDescent="0.2">
      <c r="A175">
        <v>24510270200</v>
      </c>
      <c r="B175" t="s">
        <v>41</v>
      </c>
      <c r="C175" s="7">
        <v>0.748</v>
      </c>
      <c r="D175">
        <v>31128</v>
      </c>
    </row>
    <row r="176" spans="1:4" x14ac:dyDescent="0.2">
      <c r="A176">
        <v>24510270502</v>
      </c>
      <c r="B176" t="s">
        <v>20</v>
      </c>
      <c r="C176" s="7">
        <v>0.7369</v>
      </c>
      <c r="D176">
        <v>31310</v>
      </c>
    </row>
    <row r="177" spans="1:4" x14ac:dyDescent="0.2">
      <c r="A177">
        <v>24005402403</v>
      </c>
      <c r="B177" t="s">
        <v>51</v>
      </c>
      <c r="C177" s="7">
        <v>0.83960000000000001</v>
      </c>
      <c r="D177">
        <v>31968</v>
      </c>
    </row>
    <row r="178" spans="1:4" x14ac:dyDescent="0.2">
      <c r="A178">
        <v>24510272004</v>
      </c>
      <c r="B178" t="s">
        <v>23</v>
      </c>
      <c r="C178" s="7">
        <v>0.58440000000000003</v>
      </c>
      <c r="D178">
        <v>32277</v>
      </c>
    </row>
    <row r="179" spans="1:4" x14ac:dyDescent="0.2">
      <c r="A179">
        <v>24510270402</v>
      </c>
      <c r="B179" t="s">
        <v>28</v>
      </c>
      <c r="C179" s="7">
        <v>0.79749999999999999</v>
      </c>
      <c r="D179">
        <v>32371</v>
      </c>
    </row>
    <row r="180" spans="1:4" x14ac:dyDescent="0.2">
      <c r="A180">
        <v>24510270302</v>
      </c>
      <c r="B180" t="s">
        <v>32</v>
      </c>
      <c r="C180" s="7">
        <v>0.76890000000000003</v>
      </c>
      <c r="D180">
        <v>32647</v>
      </c>
    </row>
    <row r="181" spans="1:4" x14ac:dyDescent="0.2">
      <c r="A181">
        <v>24510270703</v>
      </c>
      <c r="B181" t="s">
        <v>20</v>
      </c>
      <c r="C181" s="7">
        <v>0.76060000000000005</v>
      </c>
      <c r="D181">
        <v>34890</v>
      </c>
    </row>
    <row r="182" spans="1:4" x14ac:dyDescent="0.2">
      <c r="A182">
        <v>24510271503</v>
      </c>
      <c r="B182" t="s">
        <v>25</v>
      </c>
      <c r="C182" s="7">
        <v>0.60899999999999999</v>
      </c>
      <c r="D182">
        <v>35185</v>
      </c>
    </row>
    <row r="183" spans="1:4" x14ac:dyDescent="0.2">
      <c r="A183">
        <v>24510130805</v>
      </c>
      <c r="B183" t="s">
        <v>40</v>
      </c>
      <c r="C183" s="7">
        <v>0.67200000000000004</v>
      </c>
      <c r="D183">
        <v>35573</v>
      </c>
    </row>
    <row r="184" spans="1:4" x14ac:dyDescent="0.2">
      <c r="A184">
        <v>24510240200</v>
      </c>
      <c r="B184" t="s">
        <v>19</v>
      </c>
      <c r="C184" s="7">
        <v>0.73919999999999997</v>
      </c>
      <c r="D184">
        <v>37172</v>
      </c>
    </row>
    <row r="185" spans="1:4" x14ac:dyDescent="0.2">
      <c r="A185">
        <v>24510271102</v>
      </c>
      <c r="B185" t="s">
        <v>10</v>
      </c>
      <c r="C185" s="7">
        <v>0.37590000000000001</v>
      </c>
      <c r="D185">
        <v>37888</v>
      </c>
    </row>
    <row r="186" spans="1:4" x14ac:dyDescent="0.2">
      <c r="A186">
        <v>24510020300</v>
      </c>
      <c r="B186" t="s">
        <v>15</v>
      </c>
      <c r="C186" s="7">
        <v>0.5665</v>
      </c>
      <c r="D186">
        <v>39150</v>
      </c>
    </row>
    <row r="187" spans="1:4" x14ac:dyDescent="0.2">
      <c r="A187">
        <v>24510271200</v>
      </c>
      <c r="B187" t="s">
        <v>8</v>
      </c>
      <c r="C187" s="7">
        <v>0.51659999999999995</v>
      </c>
      <c r="D187">
        <v>42081</v>
      </c>
    </row>
    <row r="188" spans="1:4" x14ac:dyDescent="0.2">
      <c r="A188">
        <v>24510271300</v>
      </c>
      <c r="B188" t="s">
        <v>7</v>
      </c>
      <c r="C188" s="7">
        <v>0.4153</v>
      </c>
      <c r="D188">
        <v>42781</v>
      </c>
    </row>
    <row r="189" spans="1:4" x14ac:dyDescent="0.2">
      <c r="A189">
        <v>24510120100</v>
      </c>
      <c r="B189" t="s">
        <v>11</v>
      </c>
      <c r="C189" s="7">
        <v>0.47139999999999999</v>
      </c>
      <c r="D189">
        <v>43386</v>
      </c>
    </row>
    <row r="190" spans="1:4" x14ac:dyDescent="0.2">
      <c r="A190">
        <v>24510271400</v>
      </c>
      <c r="B190" t="s">
        <v>5</v>
      </c>
      <c r="C190" s="7">
        <v>0.43419999999999997</v>
      </c>
      <c r="D190">
        <v>43522</v>
      </c>
    </row>
    <row r="191" spans="1:4" x14ac:dyDescent="0.2">
      <c r="A191">
        <v>24510271501</v>
      </c>
      <c r="B191" t="s">
        <v>6</v>
      </c>
      <c r="C191" s="7">
        <v>0.41120000000000001</v>
      </c>
      <c r="D191">
        <v>46558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filterMode="1"/>
  <dimension ref="A1:L711"/>
  <sheetViews>
    <sheetView zoomScale="75" workbookViewId="0">
      <selection sqref="A1:D697"/>
    </sheetView>
  </sheetViews>
  <sheetFormatPr baseColWidth="10" defaultRowHeight="16" x14ac:dyDescent="0.2"/>
  <cols>
    <col min="1" max="1" width="17" customWidth="1"/>
    <col min="2" max="2" width="63" customWidth="1"/>
    <col min="3" max="3" width="51.83203125" customWidth="1"/>
    <col min="4" max="4" width="21.5" customWidth="1"/>
    <col min="11" max="11" width="22.1640625" customWidth="1"/>
    <col min="12" max="12" width="15.1640625" customWidth="1"/>
  </cols>
  <sheetData>
    <row r="1" spans="1:12" x14ac:dyDescent="0.2">
      <c r="A1" t="s">
        <v>0</v>
      </c>
      <c r="B1" t="s">
        <v>1</v>
      </c>
      <c r="C1" t="s">
        <v>151</v>
      </c>
      <c r="D1" t="s">
        <v>377</v>
      </c>
      <c r="I1" t="s">
        <v>364</v>
      </c>
      <c r="J1" t="s">
        <v>365</v>
      </c>
      <c r="K1" t="s">
        <v>366</v>
      </c>
      <c r="L1" t="s">
        <v>367</v>
      </c>
    </row>
    <row r="2" spans="1:12" x14ac:dyDescent="0.2">
      <c r="A2">
        <v>42101000600</v>
      </c>
      <c r="B2" t="s">
        <v>235</v>
      </c>
      <c r="C2" s="7">
        <v>0.52490000000000003</v>
      </c>
      <c r="D2">
        <f>VLOOKUP(A2,Philly_income!$A$2:$C$324,3,FALSE)</f>
        <v>27965</v>
      </c>
      <c r="I2">
        <f>FIND(",",B2)</f>
        <v>12</v>
      </c>
      <c r="J2">
        <f>FIND(",",$B2,I2+1)</f>
        <v>26</v>
      </c>
      <c r="K2" t="str">
        <f>MID($B2,I2+1,J2-1-I2)</f>
        <v xml:space="preserve"> Philadelphia</v>
      </c>
      <c r="L2" t="str">
        <f>MID($B2, FIND(",",$B2)+1, FIND(",",$B2,FIND(",",$B2)+1) -1 -FIND(",",$B2))</f>
        <v xml:space="preserve"> Philadelphia</v>
      </c>
    </row>
    <row r="3" spans="1:12" hidden="1" x14ac:dyDescent="0.2">
      <c r="A3">
        <v>42101037600</v>
      </c>
      <c r="B3" t="s">
        <v>166</v>
      </c>
      <c r="C3">
        <v>0.91279999999999994</v>
      </c>
      <c r="D3" t="e">
        <f>VLOOKUP(A3,Philly_income!$A$2:$C$324,3,FALSE)</f>
        <v>#N/A</v>
      </c>
      <c r="L3" t="str">
        <f t="shared" ref="L3:L66" si="0">MID($B3, FIND(",",$B3)+1, FIND(",",$B3,FIND(",",$B3)+1) -1 -FIND(",",$B3))</f>
        <v xml:space="preserve"> Philadelphia</v>
      </c>
    </row>
    <row r="4" spans="1:12" hidden="1" x14ac:dyDescent="0.2">
      <c r="A4">
        <v>42101004202</v>
      </c>
      <c r="B4" t="s">
        <v>156</v>
      </c>
      <c r="C4">
        <v>0.91159999999999997</v>
      </c>
      <c r="D4" t="e">
        <f>VLOOKUP(A4,Philly_income!$A$2:$C$324,3,FALSE)</f>
        <v>#N/A</v>
      </c>
      <c r="L4" t="str">
        <f t="shared" si="0"/>
        <v xml:space="preserve"> Philadelphia</v>
      </c>
    </row>
    <row r="5" spans="1:12" hidden="1" x14ac:dyDescent="0.2">
      <c r="A5">
        <v>42101037700</v>
      </c>
      <c r="B5" t="s">
        <v>166</v>
      </c>
      <c r="C5">
        <v>0.91110000000000002</v>
      </c>
      <c r="D5" t="e">
        <f>VLOOKUP(A5,Philly_income!$A$2:$C$324,3,FALSE)</f>
        <v>#N/A</v>
      </c>
      <c r="L5" t="str">
        <f t="shared" si="0"/>
        <v xml:space="preserve"> Philadelphia</v>
      </c>
    </row>
    <row r="6" spans="1:12" hidden="1" x14ac:dyDescent="0.2">
      <c r="A6">
        <v>34007605200</v>
      </c>
      <c r="B6" t="s">
        <v>242</v>
      </c>
      <c r="C6">
        <v>0.90949999999999998</v>
      </c>
      <c r="L6" t="e">
        <f t="shared" si="0"/>
        <v>#VALUE!</v>
      </c>
    </row>
    <row r="7" spans="1:12" hidden="1" x14ac:dyDescent="0.2">
      <c r="A7">
        <v>42101015200</v>
      </c>
      <c r="B7" t="s">
        <v>164</v>
      </c>
      <c r="C7">
        <v>0.90769999999999995</v>
      </c>
      <c r="D7" t="e">
        <f>VLOOKUP(A7,Philly_income!$A$2:$C$324,3,FALSE)</f>
        <v>#N/A</v>
      </c>
      <c r="L7" t="str">
        <f t="shared" si="0"/>
        <v xml:space="preserve"> Philadelphia</v>
      </c>
    </row>
    <row r="8" spans="1:12" x14ac:dyDescent="0.2">
      <c r="A8">
        <v>42101004002</v>
      </c>
      <c r="B8" t="s">
        <v>253</v>
      </c>
      <c r="C8" s="7">
        <v>0.89429999999999998</v>
      </c>
      <c r="D8">
        <f>VLOOKUP(A8,Philly_income!$A$2:$C$324,3,FALSE)</f>
        <v>27997</v>
      </c>
      <c r="L8" t="str">
        <f t="shared" si="0"/>
        <v xml:space="preserve"> Philadelphia</v>
      </c>
    </row>
    <row r="9" spans="1:12" hidden="1" x14ac:dyDescent="0.2">
      <c r="A9">
        <v>42101003300</v>
      </c>
      <c r="B9" t="s">
        <v>156</v>
      </c>
      <c r="C9">
        <v>0.89959999999999996</v>
      </c>
      <c r="D9" t="e">
        <f>VLOOKUP(A9,Philly_income!$A$2:$C$324,3,FALSE)</f>
        <v>#N/A</v>
      </c>
      <c r="L9" t="str">
        <f t="shared" si="0"/>
        <v xml:space="preserve"> Philadelphia</v>
      </c>
    </row>
    <row r="10" spans="1:12" hidden="1" x14ac:dyDescent="0.2">
      <c r="A10">
        <v>42101010800</v>
      </c>
      <c r="B10" t="s">
        <v>175</v>
      </c>
      <c r="C10">
        <v>0.89939999999999998</v>
      </c>
      <c r="D10" t="e">
        <f>VLOOKUP(A10,Philly_income!$A$2:$C$324,3,FALSE)</f>
        <v>#N/A</v>
      </c>
      <c r="L10" t="str">
        <f t="shared" si="0"/>
        <v xml:space="preserve"> Philadelphia</v>
      </c>
    </row>
    <row r="11" spans="1:12" x14ac:dyDescent="0.2">
      <c r="A11">
        <v>42101038900</v>
      </c>
      <c r="B11" t="s">
        <v>158</v>
      </c>
      <c r="C11" s="7">
        <v>0.81689999999999996</v>
      </c>
      <c r="D11">
        <f>VLOOKUP(A11,Philly_income!$A$2:$C$324,3,FALSE)</f>
        <v>28018</v>
      </c>
      <c r="L11" t="str">
        <f t="shared" si="0"/>
        <v xml:space="preserve"> Philadelphia</v>
      </c>
    </row>
    <row r="12" spans="1:12" hidden="1" x14ac:dyDescent="0.2">
      <c r="A12">
        <v>42101015700</v>
      </c>
      <c r="B12" t="s">
        <v>190</v>
      </c>
      <c r="C12">
        <v>0.89670000000000005</v>
      </c>
      <c r="D12" t="e">
        <f>VLOOKUP(A12,Philly_income!$A$2:$C$324,3,FALSE)</f>
        <v>#N/A</v>
      </c>
      <c r="L12" t="str">
        <f t="shared" si="0"/>
        <v xml:space="preserve"> Philadelphia</v>
      </c>
    </row>
    <row r="13" spans="1:12" hidden="1" x14ac:dyDescent="0.2">
      <c r="A13">
        <v>42101014700</v>
      </c>
      <c r="B13" t="s">
        <v>164</v>
      </c>
      <c r="C13">
        <v>0.89629999999999999</v>
      </c>
      <c r="D13" t="e">
        <f>VLOOKUP(A13,Philly_income!$A$2:$C$324,3,FALSE)</f>
        <v>#N/A</v>
      </c>
      <c r="L13" t="str">
        <f t="shared" si="0"/>
        <v xml:space="preserve"> Philadelphia</v>
      </c>
    </row>
    <row r="14" spans="1:12" hidden="1" x14ac:dyDescent="0.2">
      <c r="A14">
        <v>42101015102</v>
      </c>
      <c r="B14" t="s">
        <v>166</v>
      </c>
      <c r="C14">
        <v>0.89600000000000002</v>
      </c>
      <c r="D14" t="e">
        <f>VLOOKUP(A14,Philly_income!$A$2:$C$324,3,FALSE)</f>
        <v>#N/A</v>
      </c>
      <c r="L14" t="str">
        <f t="shared" si="0"/>
        <v xml:space="preserve"> Philadelphia</v>
      </c>
    </row>
    <row r="15" spans="1:12" x14ac:dyDescent="0.2">
      <c r="A15">
        <v>42101026200</v>
      </c>
      <c r="B15" t="s">
        <v>166</v>
      </c>
      <c r="C15" s="7">
        <v>0.84719999999999995</v>
      </c>
      <c r="D15">
        <f>VLOOKUP(A15,Philly_income!$A$2:$C$324,3,FALSE)</f>
        <v>28096</v>
      </c>
      <c r="L15" t="str">
        <f t="shared" si="0"/>
        <v xml:space="preserve"> Philadelphia</v>
      </c>
    </row>
    <row r="16" spans="1:12" hidden="1" x14ac:dyDescent="0.2">
      <c r="A16">
        <v>42101027901</v>
      </c>
      <c r="B16" t="s">
        <v>166</v>
      </c>
      <c r="C16">
        <v>0.89419999999999999</v>
      </c>
      <c r="D16" t="e">
        <f>VLOOKUP(A16,Philly_income!$A$2:$C$324,3,FALSE)</f>
        <v>#N/A</v>
      </c>
      <c r="L16" t="str">
        <f t="shared" si="0"/>
        <v xml:space="preserve"> Philadelphia</v>
      </c>
    </row>
    <row r="17" spans="1:12" x14ac:dyDescent="0.2">
      <c r="A17">
        <v>42101029000</v>
      </c>
      <c r="B17" t="s">
        <v>166</v>
      </c>
      <c r="C17" s="7">
        <v>0.7843</v>
      </c>
      <c r="D17">
        <f>VLOOKUP(A17,Philly_income!$A$2:$C$324,3,FALSE)</f>
        <v>28170</v>
      </c>
      <c r="L17" t="str">
        <f t="shared" si="0"/>
        <v xml:space="preserve"> Philadelphia</v>
      </c>
    </row>
    <row r="18" spans="1:12" hidden="1" x14ac:dyDescent="0.2">
      <c r="A18">
        <v>42101010200</v>
      </c>
      <c r="B18" t="s">
        <v>181</v>
      </c>
      <c r="C18">
        <v>0.89270000000000005</v>
      </c>
      <c r="D18" t="e">
        <f>VLOOKUP(A18,Philly_income!$A$2:$C$324,3,FALSE)</f>
        <v>#N/A</v>
      </c>
      <c r="L18" t="str">
        <f t="shared" si="0"/>
        <v xml:space="preserve"> Philadelphia</v>
      </c>
    </row>
    <row r="19" spans="1:12" hidden="1" x14ac:dyDescent="0.2">
      <c r="A19">
        <v>42101013100</v>
      </c>
      <c r="B19" t="s">
        <v>166</v>
      </c>
      <c r="C19">
        <v>0.89229999999999998</v>
      </c>
      <c r="D19" t="e">
        <f>VLOOKUP(A19,Philly_income!$A$2:$C$324,3,FALSE)</f>
        <v>#N/A</v>
      </c>
      <c r="L19" t="str">
        <f t="shared" si="0"/>
        <v xml:space="preserve"> Philadelphia</v>
      </c>
    </row>
    <row r="20" spans="1:12" hidden="1" x14ac:dyDescent="0.2">
      <c r="A20">
        <v>42101016600</v>
      </c>
      <c r="B20" t="s">
        <v>166</v>
      </c>
      <c r="C20">
        <v>0.89119999999999999</v>
      </c>
      <c r="D20" t="e">
        <f>VLOOKUP(A20,Philly_income!$A$2:$C$324,3,FALSE)</f>
        <v>#N/A</v>
      </c>
      <c r="L20" t="str">
        <f t="shared" si="0"/>
        <v xml:space="preserve"> Philadelphia</v>
      </c>
    </row>
    <row r="21" spans="1:12" x14ac:dyDescent="0.2">
      <c r="A21">
        <v>42101032500</v>
      </c>
      <c r="B21" t="s">
        <v>155</v>
      </c>
      <c r="C21" s="7">
        <v>0.86319999999999997</v>
      </c>
      <c r="D21">
        <f>VLOOKUP(A21,Philly_income!$A$2:$C$324,3,FALSE)</f>
        <v>28277</v>
      </c>
      <c r="L21" t="str">
        <f t="shared" si="0"/>
        <v xml:space="preserve"> Philadelphia</v>
      </c>
    </row>
    <row r="22" spans="1:12" hidden="1" x14ac:dyDescent="0.2">
      <c r="A22">
        <v>42101015300</v>
      </c>
      <c r="B22" t="s">
        <v>166</v>
      </c>
      <c r="C22">
        <v>0.89</v>
      </c>
      <c r="D22" t="e">
        <f>VLOOKUP(A22,Philly_income!$A$2:$C$324,3,FALSE)</f>
        <v>#N/A</v>
      </c>
      <c r="L22" t="str">
        <f t="shared" si="0"/>
        <v xml:space="preserve"> Philadelphia</v>
      </c>
    </row>
    <row r="23" spans="1:12" hidden="1" x14ac:dyDescent="0.2">
      <c r="A23">
        <v>42101003901</v>
      </c>
      <c r="B23" t="s">
        <v>156</v>
      </c>
      <c r="C23">
        <v>0.88980000000000004</v>
      </c>
      <c r="D23" t="e">
        <f>VLOOKUP(A23,Philly_income!$A$2:$C$324,3,FALSE)</f>
        <v>#N/A</v>
      </c>
      <c r="L23" t="str">
        <f t="shared" si="0"/>
        <v xml:space="preserve"> Philadelphia</v>
      </c>
    </row>
    <row r="24" spans="1:12" x14ac:dyDescent="0.2">
      <c r="A24">
        <v>42101032300</v>
      </c>
      <c r="B24" t="s">
        <v>155</v>
      </c>
      <c r="C24" s="7">
        <v>0.86919999999999997</v>
      </c>
      <c r="D24">
        <f>VLOOKUP(A24,Philly_income!$A$2:$C$324,3,FALSE)</f>
        <v>28294</v>
      </c>
      <c r="L24" t="str">
        <f t="shared" si="0"/>
        <v xml:space="preserve"> Philadelphia</v>
      </c>
    </row>
    <row r="25" spans="1:12" x14ac:dyDescent="0.2">
      <c r="A25">
        <v>42101005500</v>
      </c>
      <c r="B25" t="s">
        <v>157</v>
      </c>
      <c r="C25" s="7">
        <v>0.78710000000000002</v>
      </c>
      <c r="D25">
        <f>VLOOKUP(A25,Philly_income!$A$2:$C$324,3,FALSE)</f>
        <v>28296</v>
      </c>
      <c r="L25" t="str">
        <f t="shared" si="0"/>
        <v xml:space="preserve"> Philadelphia</v>
      </c>
    </row>
    <row r="26" spans="1:12" hidden="1" x14ac:dyDescent="0.2">
      <c r="A26">
        <v>42101014100</v>
      </c>
      <c r="B26" t="s">
        <v>165</v>
      </c>
      <c r="C26">
        <v>0.8891</v>
      </c>
      <c r="D26" t="e">
        <f>VLOOKUP(A26,Philly_income!$A$2:$C$324,3,FALSE)</f>
        <v>#N/A</v>
      </c>
      <c r="L26" t="str">
        <f t="shared" si="0"/>
        <v xml:space="preserve"> Philadelphia</v>
      </c>
    </row>
    <row r="27" spans="1:12" hidden="1" x14ac:dyDescent="0.2">
      <c r="A27">
        <v>42101007101</v>
      </c>
      <c r="B27" t="s">
        <v>159</v>
      </c>
      <c r="C27">
        <v>0.88829999999999998</v>
      </c>
      <c r="D27" t="e">
        <f>VLOOKUP(A27,Philly_income!$A$2:$C$324,3,FALSE)</f>
        <v>#N/A</v>
      </c>
      <c r="L27" t="str">
        <f t="shared" si="0"/>
        <v xml:space="preserve"> Philadelphia</v>
      </c>
    </row>
    <row r="28" spans="1:12" hidden="1" x14ac:dyDescent="0.2">
      <c r="A28">
        <v>42101003701</v>
      </c>
      <c r="B28" t="s">
        <v>156</v>
      </c>
      <c r="C28">
        <v>0.88770000000000004</v>
      </c>
      <c r="D28" t="e">
        <f>VLOOKUP(A28,Philly_income!$A$2:$C$324,3,FALSE)</f>
        <v>#N/A</v>
      </c>
      <c r="L28" t="str">
        <f t="shared" si="0"/>
        <v xml:space="preserve"> Philadelphia</v>
      </c>
    </row>
    <row r="29" spans="1:12" x14ac:dyDescent="0.2">
      <c r="A29">
        <v>42101031200</v>
      </c>
      <c r="B29" t="s">
        <v>249</v>
      </c>
      <c r="C29" s="7">
        <v>0.80589999999999995</v>
      </c>
      <c r="D29">
        <f>VLOOKUP(A29,Philly_income!$A$2:$C$324,3,FALSE)</f>
        <v>28450</v>
      </c>
      <c r="L29" t="str">
        <f t="shared" si="0"/>
        <v xml:space="preserve"> Philadelphia</v>
      </c>
    </row>
    <row r="30" spans="1:12" hidden="1" x14ac:dyDescent="0.2">
      <c r="A30">
        <v>42101014900</v>
      </c>
      <c r="B30" t="s">
        <v>166</v>
      </c>
      <c r="C30">
        <v>0.88680000000000003</v>
      </c>
      <c r="D30" t="e">
        <f>VLOOKUP(A30,Philly_income!$A$2:$C$324,3,FALSE)</f>
        <v>#N/A</v>
      </c>
      <c r="L30" t="str">
        <f t="shared" si="0"/>
        <v xml:space="preserve"> Philadelphia</v>
      </c>
    </row>
    <row r="31" spans="1:12" hidden="1" x14ac:dyDescent="0.2">
      <c r="A31">
        <v>42101028000</v>
      </c>
      <c r="B31" t="s">
        <v>194</v>
      </c>
      <c r="C31">
        <v>0.88649999999999995</v>
      </c>
      <c r="D31" t="e">
        <f>VLOOKUP(A31,Philly_income!$A$2:$C$324,3,FALSE)</f>
        <v>#N/A</v>
      </c>
      <c r="L31" t="str">
        <f t="shared" si="0"/>
        <v xml:space="preserve"> Philadelphia</v>
      </c>
    </row>
    <row r="32" spans="1:12" x14ac:dyDescent="0.2">
      <c r="A32">
        <v>42101018001</v>
      </c>
      <c r="B32" t="s">
        <v>166</v>
      </c>
      <c r="C32" s="7">
        <v>0.84050000000000002</v>
      </c>
      <c r="D32">
        <f>VLOOKUP(A32,Philly_income!$A$2:$C$324,3,FALSE)</f>
        <v>28492</v>
      </c>
      <c r="L32" t="str">
        <f t="shared" si="0"/>
        <v xml:space="preserve"> Philadelphia</v>
      </c>
    </row>
    <row r="33" spans="1:12" x14ac:dyDescent="0.2">
      <c r="A33">
        <v>42101004201</v>
      </c>
      <c r="B33" t="s">
        <v>156</v>
      </c>
      <c r="C33" s="7">
        <v>0.89300000000000002</v>
      </c>
      <c r="D33">
        <f>VLOOKUP(A33,Philly_income!$A$2:$C$324,3,FALSE)</f>
        <v>28518</v>
      </c>
      <c r="L33" t="str">
        <f t="shared" si="0"/>
        <v xml:space="preserve"> Philadelphia</v>
      </c>
    </row>
    <row r="34" spans="1:12" hidden="1" x14ac:dyDescent="0.2">
      <c r="A34">
        <v>34007601700</v>
      </c>
      <c r="B34" t="s">
        <v>167</v>
      </c>
      <c r="C34">
        <v>0.88370000000000004</v>
      </c>
      <c r="L34" t="str">
        <f t="shared" si="0"/>
        <v xml:space="preserve"> Camden</v>
      </c>
    </row>
    <row r="35" spans="1:12" x14ac:dyDescent="0.2">
      <c r="A35">
        <v>42101005000</v>
      </c>
      <c r="B35" t="s">
        <v>251</v>
      </c>
      <c r="C35" s="7">
        <v>0.51319999999999999</v>
      </c>
      <c r="D35">
        <f>VLOOKUP(A35,Philly_income!$A$2:$C$324,3,FALSE)</f>
        <v>28553</v>
      </c>
      <c r="L35" t="str">
        <f t="shared" si="0"/>
        <v xml:space="preserve"> Philadelphia</v>
      </c>
    </row>
    <row r="36" spans="1:12" x14ac:dyDescent="0.2">
      <c r="A36">
        <v>42101019000</v>
      </c>
      <c r="B36" t="s">
        <v>166</v>
      </c>
      <c r="C36" s="7">
        <v>0.86339999999999995</v>
      </c>
      <c r="D36">
        <f>VLOOKUP(A36,Philly_income!$A$2:$C$324,3,FALSE)</f>
        <v>28596</v>
      </c>
      <c r="L36" t="str">
        <f t="shared" si="0"/>
        <v xml:space="preserve"> Philadelphia</v>
      </c>
    </row>
    <row r="37" spans="1:12" hidden="1" x14ac:dyDescent="0.2">
      <c r="A37">
        <v>42101004101</v>
      </c>
      <c r="B37" t="s">
        <v>156</v>
      </c>
      <c r="C37">
        <v>0.88319999999999999</v>
      </c>
      <c r="D37" t="e">
        <f>VLOOKUP(A37,Philly_income!$A$2:$C$324,3,FALSE)</f>
        <v>#N/A</v>
      </c>
      <c r="L37" t="str">
        <f t="shared" si="0"/>
        <v xml:space="preserve"> Philadelphia</v>
      </c>
    </row>
    <row r="38" spans="1:12" hidden="1" x14ac:dyDescent="0.2">
      <c r="A38">
        <v>42101038200</v>
      </c>
      <c r="B38" t="s">
        <v>224</v>
      </c>
      <c r="C38">
        <v>0.88200000000000001</v>
      </c>
      <c r="D38" t="e">
        <f>VLOOKUP(A38,Philly_income!$A$2:$C$324,3,FALSE)</f>
        <v>#N/A</v>
      </c>
      <c r="L38" t="str">
        <f t="shared" si="0"/>
        <v xml:space="preserve"> Philadelphia</v>
      </c>
    </row>
    <row r="39" spans="1:12" hidden="1" x14ac:dyDescent="0.2">
      <c r="A39">
        <v>42101010700</v>
      </c>
      <c r="B39" t="s">
        <v>183</v>
      </c>
      <c r="C39">
        <v>0.88139999999999996</v>
      </c>
      <c r="D39" t="e">
        <f>VLOOKUP(A39,Philly_income!$A$2:$C$324,3,FALSE)</f>
        <v>#N/A</v>
      </c>
      <c r="L39" t="str">
        <f t="shared" si="0"/>
        <v xml:space="preserve"> Philadelphia</v>
      </c>
    </row>
    <row r="40" spans="1:12" hidden="1" x14ac:dyDescent="0.2">
      <c r="A40">
        <v>42101014800</v>
      </c>
      <c r="B40" t="s">
        <v>164</v>
      </c>
      <c r="C40">
        <v>0.88139999999999996</v>
      </c>
      <c r="D40" t="e">
        <f>VLOOKUP(A40,Philly_income!$A$2:$C$324,3,FALSE)</f>
        <v>#N/A</v>
      </c>
      <c r="L40" t="str">
        <f t="shared" si="0"/>
        <v xml:space="preserve"> Philadelphia</v>
      </c>
    </row>
    <row r="41" spans="1:12" hidden="1" x14ac:dyDescent="0.2">
      <c r="A41">
        <v>34007600400</v>
      </c>
      <c r="B41" t="s">
        <v>193</v>
      </c>
      <c r="C41">
        <v>0.88109999999999999</v>
      </c>
      <c r="L41" t="str">
        <f t="shared" si="0"/>
        <v xml:space="preserve"> Camden</v>
      </c>
    </row>
    <row r="42" spans="1:12" hidden="1" x14ac:dyDescent="0.2">
      <c r="A42">
        <v>42101013200</v>
      </c>
      <c r="B42" t="s">
        <v>166</v>
      </c>
      <c r="C42">
        <v>0.88049999999999995</v>
      </c>
      <c r="D42" t="e">
        <f>VLOOKUP(A42,Philly_income!$A$2:$C$324,3,FALSE)</f>
        <v>#N/A</v>
      </c>
      <c r="L42" t="str">
        <f t="shared" si="0"/>
        <v xml:space="preserve"> Philadelphia</v>
      </c>
    </row>
    <row r="43" spans="1:12" hidden="1" x14ac:dyDescent="0.2">
      <c r="A43">
        <v>42101038100</v>
      </c>
      <c r="B43" t="s">
        <v>155</v>
      </c>
      <c r="C43">
        <v>0.88009999999999999</v>
      </c>
      <c r="D43" t="e">
        <f>VLOOKUP(A43,Philly_income!$A$2:$C$324,3,FALSE)</f>
        <v>#N/A</v>
      </c>
      <c r="L43" t="str">
        <f t="shared" si="0"/>
        <v xml:space="preserve"> Philadelphia</v>
      </c>
    </row>
    <row r="44" spans="1:12" hidden="1" x14ac:dyDescent="0.2">
      <c r="A44">
        <v>42101010300</v>
      </c>
      <c r="B44" t="s">
        <v>181</v>
      </c>
      <c r="C44">
        <v>0.88</v>
      </c>
      <c r="D44" t="e">
        <f>VLOOKUP(A44,Philly_income!$A$2:$C$324,3,FALSE)</f>
        <v>#N/A</v>
      </c>
      <c r="L44" t="str">
        <f t="shared" si="0"/>
        <v xml:space="preserve"> Philadelphia</v>
      </c>
    </row>
    <row r="45" spans="1:12" hidden="1" x14ac:dyDescent="0.2">
      <c r="A45">
        <v>42101019900</v>
      </c>
      <c r="B45" t="s">
        <v>166</v>
      </c>
      <c r="C45">
        <v>0.87980000000000003</v>
      </c>
      <c r="D45" t="e">
        <f>VLOOKUP(A45,Philly_income!$A$2:$C$324,3,FALSE)</f>
        <v>#N/A</v>
      </c>
      <c r="L45" t="str">
        <f t="shared" si="0"/>
        <v xml:space="preserve"> Philadelphia</v>
      </c>
    </row>
    <row r="46" spans="1:12" x14ac:dyDescent="0.2">
      <c r="A46">
        <v>42101029100</v>
      </c>
      <c r="B46" t="s">
        <v>238</v>
      </c>
      <c r="C46" s="7">
        <v>0.78390000000000004</v>
      </c>
      <c r="D46">
        <f>VLOOKUP(A46,Philly_income!$A$2:$C$324,3,FALSE)</f>
        <v>28683</v>
      </c>
      <c r="L46" t="str">
        <f t="shared" si="0"/>
        <v xml:space="preserve"> Philadelphia</v>
      </c>
    </row>
    <row r="47" spans="1:12" hidden="1" x14ac:dyDescent="0.2">
      <c r="A47">
        <v>42101004102</v>
      </c>
      <c r="B47" t="s">
        <v>156</v>
      </c>
      <c r="C47">
        <v>0.87970000000000004</v>
      </c>
      <c r="D47" t="e">
        <f>VLOOKUP(A47,Philly_income!$A$2:$C$324,3,FALSE)</f>
        <v>#N/A</v>
      </c>
      <c r="L47" t="str">
        <f t="shared" si="0"/>
        <v xml:space="preserve"> Philadelphia</v>
      </c>
    </row>
    <row r="48" spans="1:12" hidden="1" x14ac:dyDescent="0.2">
      <c r="A48">
        <v>42101020400</v>
      </c>
      <c r="B48" t="s">
        <v>166</v>
      </c>
      <c r="C48">
        <v>0.87919999999999998</v>
      </c>
      <c r="D48" t="e">
        <f>VLOOKUP(A48,Philly_income!$A$2:$C$324,3,FALSE)</f>
        <v>#N/A</v>
      </c>
      <c r="L48" t="str">
        <f t="shared" si="0"/>
        <v xml:space="preserve"> Philadelphia</v>
      </c>
    </row>
    <row r="49" spans="1:12" x14ac:dyDescent="0.2">
      <c r="A49">
        <v>42101009802</v>
      </c>
      <c r="B49" t="s">
        <v>214</v>
      </c>
      <c r="C49" s="7">
        <v>0.77569999999999995</v>
      </c>
      <c r="D49">
        <f>VLOOKUP(A49,Philly_income!$A$2:$C$324,3,FALSE)</f>
        <v>28690</v>
      </c>
      <c r="L49" t="str">
        <f t="shared" si="0"/>
        <v xml:space="preserve"> Philadelphia</v>
      </c>
    </row>
    <row r="50" spans="1:12" hidden="1" x14ac:dyDescent="0.2">
      <c r="A50">
        <v>34007611100</v>
      </c>
      <c r="B50" t="s">
        <v>264</v>
      </c>
      <c r="C50">
        <v>0.87880000000000003</v>
      </c>
      <c r="L50" t="e">
        <f t="shared" si="0"/>
        <v>#VALUE!</v>
      </c>
    </row>
    <row r="51" spans="1:12" hidden="1" x14ac:dyDescent="0.2">
      <c r="A51">
        <v>42101016902</v>
      </c>
      <c r="B51" t="s">
        <v>166</v>
      </c>
      <c r="C51">
        <v>0.87829999999999997</v>
      </c>
      <c r="D51" t="e">
        <f>VLOOKUP(A51,Philly_income!$A$2:$C$324,3,FALSE)</f>
        <v>#N/A</v>
      </c>
      <c r="L51" t="str">
        <f t="shared" si="0"/>
        <v xml:space="preserve"> Philadelphia</v>
      </c>
    </row>
    <row r="52" spans="1:12" hidden="1" x14ac:dyDescent="0.2">
      <c r="A52">
        <v>42101016702</v>
      </c>
      <c r="B52" t="s">
        <v>163</v>
      </c>
      <c r="C52">
        <v>0.87809999999999999</v>
      </c>
      <c r="D52" t="e">
        <f>VLOOKUP(A52,Philly_income!$A$2:$C$324,3,FALSE)</f>
        <v>#N/A</v>
      </c>
      <c r="L52" t="str">
        <f t="shared" si="0"/>
        <v xml:space="preserve"> Philadelphia</v>
      </c>
    </row>
    <row r="53" spans="1:12" hidden="1" x14ac:dyDescent="0.2">
      <c r="A53">
        <v>42101001300</v>
      </c>
      <c r="B53" t="s">
        <v>177</v>
      </c>
      <c r="C53">
        <v>0.87760000000000005</v>
      </c>
      <c r="D53" t="e">
        <f>VLOOKUP(A53,Philly_income!$A$2:$C$324,3,FALSE)</f>
        <v>#N/A</v>
      </c>
      <c r="L53" t="str">
        <f t="shared" si="0"/>
        <v xml:space="preserve"> Philadelphia</v>
      </c>
    </row>
    <row r="54" spans="1:12" hidden="1" x14ac:dyDescent="0.2">
      <c r="A54">
        <v>42101019700</v>
      </c>
      <c r="B54" t="s">
        <v>161</v>
      </c>
      <c r="C54">
        <v>0.87690000000000001</v>
      </c>
      <c r="D54" t="e">
        <f>VLOOKUP(A54,Philly_income!$A$2:$C$324,3,FALSE)</f>
        <v>#N/A</v>
      </c>
      <c r="L54" t="str">
        <f t="shared" si="0"/>
        <v xml:space="preserve"> Philadelphia</v>
      </c>
    </row>
    <row r="55" spans="1:12" hidden="1" x14ac:dyDescent="0.2">
      <c r="A55">
        <v>42101003702</v>
      </c>
      <c r="B55" t="s">
        <v>156</v>
      </c>
      <c r="C55">
        <v>0.87670000000000003</v>
      </c>
      <c r="D55" t="e">
        <f>VLOOKUP(A55,Philly_income!$A$2:$C$324,3,FALSE)</f>
        <v>#N/A</v>
      </c>
      <c r="L55" t="str">
        <f t="shared" si="0"/>
        <v xml:space="preserve"> Philadelphia</v>
      </c>
    </row>
    <row r="56" spans="1:12" hidden="1" x14ac:dyDescent="0.2">
      <c r="A56">
        <v>42101013800</v>
      </c>
      <c r="B56" t="s">
        <v>182</v>
      </c>
      <c r="C56">
        <v>0.87619999999999998</v>
      </c>
      <c r="D56" t="e">
        <f>VLOOKUP(A56,Philly_income!$A$2:$C$324,3,FALSE)</f>
        <v>#N/A</v>
      </c>
      <c r="L56" t="str">
        <f t="shared" si="0"/>
        <v xml:space="preserve"> Philadelphia</v>
      </c>
    </row>
    <row r="57" spans="1:12" hidden="1" x14ac:dyDescent="0.2">
      <c r="A57">
        <v>42101036202</v>
      </c>
      <c r="B57" t="s">
        <v>320</v>
      </c>
      <c r="C57">
        <v>0.87549999999999994</v>
      </c>
      <c r="D57" t="e">
        <f>VLOOKUP(A57,Philly_income!$A$2:$C$324,3,FALSE)</f>
        <v>#N/A</v>
      </c>
      <c r="L57" t="str">
        <f t="shared" si="0"/>
        <v xml:space="preserve"> Philadelphia</v>
      </c>
    </row>
    <row r="58" spans="1:12" x14ac:dyDescent="0.2">
      <c r="A58">
        <v>42101014300</v>
      </c>
      <c r="B58" t="s">
        <v>244</v>
      </c>
      <c r="C58" s="7">
        <v>0.82509999999999994</v>
      </c>
      <c r="D58">
        <f>VLOOKUP(A58,Philly_income!$A$2:$C$324,3,FALSE)</f>
        <v>28717</v>
      </c>
      <c r="L58" t="str">
        <f t="shared" si="0"/>
        <v xml:space="preserve"> Philadelphia</v>
      </c>
    </row>
    <row r="59" spans="1:12" hidden="1" x14ac:dyDescent="0.2">
      <c r="A59">
        <v>42101001900</v>
      </c>
      <c r="B59" t="s">
        <v>177</v>
      </c>
      <c r="C59">
        <v>0.87539999999999996</v>
      </c>
      <c r="D59" t="e">
        <f>VLOOKUP(A59,Philly_income!$A$2:$C$324,3,FALSE)</f>
        <v>#N/A</v>
      </c>
      <c r="L59" t="str">
        <f t="shared" si="0"/>
        <v xml:space="preserve"> Philadelphia</v>
      </c>
    </row>
    <row r="60" spans="1:12" hidden="1" x14ac:dyDescent="0.2">
      <c r="A60">
        <v>42017100302</v>
      </c>
      <c r="B60" t="s">
        <v>256</v>
      </c>
      <c r="C60">
        <v>0.87509999999999999</v>
      </c>
      <c r="L60" t="e">
        <f t="shared" si="0"/>
        <v>#VALUE!</v>
      </c>
    </row>
    <row r="61" spans="1:12" hidden="1" x14ac:dyDescent="0.2">
      <c r="A61">
        <v>42101016500</v>
      </c>
      <c r="B61" t="s">
        <v>166</v>
      </c>
      <c r="C61">
        <v>0.87450000000000006</v>
      </c>
      <c r="D61" t="e">
        <f>VLOOKUP(A61,Philly_income!$A$2:$C$324,3,FALSE)</f>
        <v>#N/A</v>
      </c>
      <c r="L61" t="str">
        <f t="shared" si="0"/>
        <v xml:space="preserve"> Philadelphia</v>
      </c>
    </row>
    <row r="62" spans="1:12" hidden="1" x14ac:dyDescent="0.2">
      <c r="A62">
        <v>42101003200</v>
      </c>
      <c r="B62" t="s">
        <v>170</v>
      </c>
      <c r="C62">
        <v>0.874</v>
      </c>
      <c r="D62" t="e">
        <f>VLOOKUP(A62,Philly_income!$A$2:$C$324,3,FALSE)</f>
        <v>#N/A</v>
      </c>
      <c r="L62" t="str">
        <f t="shared" si="0"/>
        <v xml:space="preserve"> Philadelphia</v>
      </c>
    </row>
    <row r="63" spans="1:12" hidden="1" x14ac:dyDescent="0.2">
      <c r="A63">
        <v>42101016000</v>
      </c>
      <c r="B63" t="s">
        <v>166</v>
      </c>
      <c r="C63">
        <v>0.874</v>
      </c>
      <c r="D63" t="e">
        <f>VLOOKUP(A63,Philly_income!$A$2:$C$324,3,FALSE)</f>
        <v>#N/A</v>
      </c>
      <c r="L63" t="str">
        <f t="shared" si="0"/>
        <v xml:space="preserve"> Philadelphia</v>
      </c>
    </row>
    <row r="64" spans="1:12" hidden="1" x14ac:dyDescent="0.2">
      <c r="A64">
        <v>42101013700</v>
      </c>
      <c r="B64" t="s">
        <v>182</v>
      </c>
      <c r="C64">
        <v>0.87309999999999999</v>
      </c>
      <c r="D64" t="e">
        <f>VLOOKUP(A64,Philly_income!$A$2:$C$324,3,FALSE)</f>
        <v>#N/A</v>
      </c>
      <c r="L64" t="str">
        <f t="shared" si="0"/>
        <v xml:space="preserve"> Philadelphia</v>
      </c>
    </row>
    <row r="65" spans="1:12" x14ac:dyDescent="0.2">
      <c r="A65">
        <v>42101030100</v>
      </c>
      <c r="B65" t="s">
        <v>218</v>
      </c>
      <c r="C65" s="7">
        <v>0.83819999999999995</v>
      </c>
      <c r="D65">
        <f>VLOOKUP(A65,Philly_income!$A$2:$C$324,3,FALSE)</f>
        <v>28724</v>
      </c>
      <c r="L65" t="str">
        <f t="shared" si="0"/>
        <v xml:space="preserve"> Philadelphia</v>
      </c>
    </row>
    <row r="66" spans="1:12" hidden="1" x14ac:dyDescent="0.2">
      <c r="A66">
        <v>42101010500</v>
      </c>
      <c r="B66" t="s">
        <v>186</v>
      </c>
      <c r="C66">
        <v>0.87290000000000001</v>
      </c>
      <c r="D66" t="e">
        <f>VLOOKUP(A66,Philly_income!$A$2:$C$324,3,FALSE)</f>
        <v>#N/A</v>
      </c>
      <c r="L66" t="str">
        <f t="shared" si="0"/>
        <v xml:space="preserve"> Philadelphia</v>
      </c>
    </row>
    <row r="67" spans="1:12" hidden="1" x14ac:dyDescent="0.2">
      <c r="A67">
        <v>42101002200</v>
      </c>
      <c r="B67" t="s">
        <v>201</v>
      </c>
      <c r="C67">
        <v>0.87260000000000004</v>
      </c>
      <c r="D67" t="e">
        <f>VLOOKUP(A67,Philly_income!$A$2:$C$324,3,FALSE)</f>
        <v>#N/A</v>
      </c>
      <c r="L67" t="str">
        <f t="shared" ref="L67:L130" si="1">MID($B67, FIND(",",$B67)+1, FIND(",",$B67,FIND(",",$B67)+1) -1 -FIND(",",$B67))</f>
        <v xml:space="preserve"> Philadelphia</v>
      </c>
    </row>
    <row r="68" spans="1:12" hidden="1" x14ac:dyDescent="0.2">
      <c r="A68">
        <v>42101016100</v>
      </c>
      <c r="B68" t="s">
        <v>212</v>
      </c>
      <c r="C68">
        <v>0.87250000000000005</v>
      </c>
      <c r="D68" t="e">
        <f>VLOOKUP(A68,Philly_income!$A$2:$C$324,3,FALSE)</f>
        <v>#N/A</v>
      </c>
      <c r="L68" t="str">
        <f t="shared" si="1"/>
        <v xml:space="preserve"> Philadelphia</v>
      </c>
    </row>
    <row r="69" spans="1:12" hidden="1" x14ac:dyDescent="0.2">
      <c r="A69">
        <v>42101036201</v>
      </c>
      <c r="B69" t="s">
        <v>304</v>
      </c>
      <c r="C69">
        <v>0.87239999999999995</v>
      </c>
      <c r="D69" t="e">
        <f>VLOOKUP(A69,Philly_income!$A$2:$C$324,3,FALSE)</f>
        <v>#N/A</v>
      </c>
      <c r="L69" t="str">
        <f t="shared" si="1"/>
        <v xml:space="preserve"> Philadelphia</v>
      </c>
    </row>
    <row r="70" spans="1:12" hidden="1" x14ac:dyDescent="0.2">
      <c r="A70">
        <v>42101003600</v>
      </c>
      <c r="B70" t="s">
        <v>223</v>
      </c>
      <c r="C70">
        <v>0.872</v>
      </c>
      <c r="D70" t="e">
        <f>VLOOKUP(A70,Philly_income!$A$2:$C$324,3,FALSE)</f>
        <v>#N/A</v>
      </c>
      <c r="L70" t="str">
        <f t="shared" si="1"/>
        <v xml:space="preserve"> Philadelphia</v>
      </c>
    </row>
    <row r="71" spans="1:12" x14ac:dyDescent="0.2">
      <c r="A71">
        <v>42101031800</v>
      </c>
      <c r="B71" t="s">
        <v>249</v>
      </c>
      <c r="C71" s="7">
        <v>0.87160000000000004</v>
      </c>
      <c r="D71">
        <f>VLOOKUP(A71,Philly_income!$A$2:$C$324,3,FALSE)</f>
        <v>28725</v>
      </c>
      <c r="L71" t="str">
        <f t="shared" si="1"/>
        <v xml:space="preserve"> Philadelphia</v>
      </c>
    </row>
    <row r="72" spans="1:12" hidden="1" x14ac:dyDescent="0.2">
      <c r="A72">
        <v>42101014600</v>
      </c>
      <c r="B72" t="s">
        <v>166</v>
      </c>
      <c r="C72">
        <v>0.87129999999999996</v>
      </c>
      <c r="D72" t="e">
        <f>VLOOKUP(A72,Philly_income!$A$2:$C$324,3,FALSE)</f>
        <v>#N/A</v>
      </c>
      <c r="L72" t="str">
        <f t="shared" si="1"/>
        <v xml:space="preserve"> Philadelphia</v>
      </c>
    </row>
    <row r="73" spans="1:12" hidden="1" x14ac:dyDescent="0.2">
      <c r="A73">
        <v>42101014400</v>
      </c>
      <c r="B73" t="s">
        <v>166</v>
      </c>
      <c r="C73">
        <v>0.87129999999999996</v>
      </c>
      <c r="D73" t="e">
        <f>VLOOKUP(A73,Philly_income!$A$2:$C$324,3,FALSE)</f>
        <v>#N/A</v>
      </c>
      <c r="L73" t="str">
        <f t="shared" si="1"/>
        <v xml:space="preserve"> Philadelphia</v>
      </c>
    </row>
    <row r="74" spans="1:12" hidden="1" x14ac:dyDescent="0.2">
      <c r="A74">
        <v>42101036100</v>
      </c>
      <c r="B74" t="s">
        <v>155</v>
      </c>
      <c r="C74">
        <v>0.87129999999999996</v>
      </c>
      <c r="D74" t="e">
        <f>VLOOKUP(A74,Philly_income!$A$2:$C$324,3,FALSE)</f>
        <v>#N/A</v>
      </c>
      <c r="L74" t="str">
        <f t="shared" si="1"/>
        <v xml:space="preserve"> Philadelphia</v>
      </c>
    </row>
    <row r="75" spans="1:12" hidden="1" x14ac:dyDescent="0.2">
      <c r="A75">
        <v>42101036301</v>
      </c>
      <c r="B75" t="s">
        <v>155</v>
      </c>
      <c r="C75">
        <v>0.87119999999999997</v>
      </c>
      <c r="D75" t="e">
        <f>VLOOKUP(A75,Philly_income!$A$2:$C$324,3,FALSE)</f>
        <v>#N/A</v>
      </c>
      <c r="L75" t="str">
        <f t="shared" si="1"/>
        <v xml:space="preserve"> Philadelphia</v>
      </c>
    </row>
    <row r="76" spans="1:12" x14ac:dyDescent="0.2">
      <c r="A76">
        <v>42101027300</v>
      </c>
      <c r="B76" t="s">
        <v>166</v>
      </c>
      <c r="C76" s="7">
        <v>0.8004</v>
      </c>
      <c r="D76">
        <f>VLOOKUP(A76,Philly_income!$A$2:$C$324,3,FALSE)</f>
        <v>28765</v>
      </c>
      <c r="L76" t="str">
        <f t="shared" si="1"/>
        <v xml:space="preserve"> Philadelphia</v>
      </c>
    </row>
    <row r="77" spans="1:12" hidden="1" x14ac:dyDescent="0.2">
      <c r="A77">
        <v>34007602000</v>
      </c>
      <c r="B77" t="s">
        <v>202</v>
      </c>
      <c r="C77">
        <v>0.86970000000000003</v>
      </c>
      <c r="L77" t="str">
        <f t="shared" si="1"/>
        <v xml:space="preserve"> Camden</v>
      </c>
    </row>
    <row r="78" spans="1:12" x14ac:dyDescent="0.2">
      <c r="A78">
        <v>42101002300</v>
      </c>
      <c r="B78" t="s">
        <v>246</v>
      </c>
      <c r="C78" s="7">
        <v>0.83179999999999998</v>
      </c>
      <c r="D78">
        <f>VLOOKUP(A78,Philly_income!$A$2:$C$324,3,FALSE)</f>
        <v>28786</v>
      </c>
      <c r="L78" t="str">
        <f t="shared" si="1"/>
        <v xml:space="preserve"> Philadelphia</v>
      </c>
    </row>
    <row r="79" spans="1:12" x14ac:dyDescent="0.2">
      <c r="A79">
        <v>42101000901</v>
      </c>
      <c r="B79" t="s">
        <v>235</v>
      </c>
      <c r="C79" s="7">
        <v>0.62539999999999996</v>
      </c>
      <c r="D79">
        <f>VLOOKUP(A79,Philly_income!$A$2:$C$324,3,FALSE)</f>
        <v>28935</v>
      </c>
      <c r="L79" t="str">
        <f t="shared" si="1"/>
        <v xml:space="preserve"> Philadelphia</v>
      </c>
    </row>
    <row r="80" spans="1:12" hidden="1" x14ac:dyDescent="0.2">
      <c r="A80">
        <v>34007601500</v>
      </c>
      <c r="B80" t="s">
        <v>192</v>
      </c>
      <c r="C80">
        <v>0.86899999999999999</v>
      </c>
      <c r="L80" t="str">
        <f t="shared" si="1"/>
        <v xml:space="preserve"> Camden</v>
      </c>
    </row>
    <row r="81" spans="1:12" hidden="1" x14ac:dyDescent="0.2">
      <c r="A81">
        <v>42101006200</v>
      </c>
      <c r="B81" t="s">
        <v>159</v>
      </c>
      <c r="C81">
        <v>0.86880000000000002</v>
      </c>
      <c r="D81" t="e">
        <f>VLOOKUP(A81,Philly_income!$A$2:$C$324,3,FALSE)</f>
        <v>#N/A</v>
      </c>
      <c r="L81" t="str">
        <f t="shared" si="1"/>
        <v xml:space="preserve"> Philadelphia</v>
      </c>
    </row>
    <row r="82" spans="1:12" hidden="1" x14ac:dyDescent="0.2">
      <c r="A82">
        <v>42101019100</v>
      </c>
      <c r="B82" t="s">
        <v>220</v>
      </c>
      <c r="C82">
        <v>0.86839999999999995</v>
      </c>
      <c r="D82" t="e">
        <f>VLOOKUP(A82,Philly_income!$A$2:$C$324,3,FALSE)</f>
        <v>#N/A</v>
      </c>
      <c r="L82" t="str">
        <f t="shared" si="1"/>
        <v xml:space="preserve"> Philadelphia</v>
      </c>
    </row>
    <row r="83" spans="1:12" x14ac:dyDescent="0.2">
      <c r="A83">
        <v>42101025400</v>
      </c>
      <c r="B83" t="s">
        <v>217</v>
      </c>
      <c r="C83" s="7">
        <v>0.75170000000000003</v>
      </c>
      <c r="D83">
        <f>VLOOKUP(A83,Philly_income!$A$2:$C$324,3,FALSE)</f>
        <v>29029</v>
      </c>
      <c r="L83" t="str">
        <f t="shared" si="1"/>
        <v xml:space="preserve"> Philadelphia</v>
      </c>
    </row>
    <row r="84" spans="1:12" hidden="1" x14ac:dyDescent="0.2">
      <c r="A84">
        <v>34005700402</v>
      </c>
      <c r="B84" t="s">
        <v>240</v>
      </c>
      <c r="C84">
        <v>0.86809999999999998</v>
      </c>
      <c r="L84" t="e">
        <f t="shared" si="1"/>
        <v>#VALUE!</v>
      </c>
    </row>
    <row r="85" spans="1:12" x14ac:dyDescent="0.2">
      <c r="A85">
        <v>42101027401</v>
      </c>
      <c r="B85" t="s">
        <v>166</v>
      </c>
      <c r="C85" s="7">
        <v>0.80869999999999997</v>
      </c>
      <c r="D85">
        <f>VLOOKUP(A85,Philly_income!$A$2:$C$324,3,FALSE)</f>
        <v>29063</v>
      </c>
      <c r="L85" t="str">
        <f t="shared" si="1"/>
        <v xml:space="preserve"> Philadelphia</v>
      </c>
    </row>
    <row r="86" spans="1:12" x14ac:dyDescent="0.2">
      <c r="A86">
        <v>42101031900</v>
      </c>
      <c r="B86" t="s">
        <v>155</v>
      </c>
      <c r="C86" s="7">
        <v>0.86929999999999996</v>
      </c>
      <c r="D86">
        <f>VLOOKUP(A86,Philly_income!$A$2:$C$324,3,FALSE)</f>
        <v>29159</v>
      </c>
      <c r="L86" t="str">
        <f t="shared" si="1"/>
        <v xml:space="preserve"> Philadelphia</v>
      </c>
    </row>
    <row r="87" spans="1:12" hidden="1" x14ac:dyDescent="0.2">
      <c r="A87">
        <v>42101007000</v>
      </c>
      <c r="B87" t="s">
        <v>159</v>
      </c>
      <c r="C87">
        <v>0.86770000000000003</v>
      </c>
      <c r="D87" t="e">
        <f>VLOOKUP(A87,Philly_income!$A$2:$C$324,3,FALSE)</f>
        <v>#N/A</v>
      </c>
      <c r="L87" t="str">
        <f t="shared" si="1"/>
        <v xml:space="preserve"> Philadelphia</v>
      </c>
    </row>
    <row r="88" spans="1:12" hidden="1" x14ac:dyDescent="0.2">
      <c r="A88">
        <v>34007605100</v>
      </c>
      <c r="B88" t="s">
        <v>242</v>
      </c>
      <c r="C88">
        <v>0.8669</v>
      </c>
      <c r="L88" t="e">
        <f t="shared" si="1"/>
        <v>#VALUE!</v>
      </c>
    </row>
    <row r="89" spans="1:12" x14ac:dyDescent="0.2">
      <c r="A89">
        <v>42101030900</v>
      </c>
      <c r="B89" t="s">
        <v>249</v>
      </c>
      <c r="C89" s="7">
        <v>0.82989999999999997</v>
      </c>
      <c r="D89">
        <f>VLOOKUP(A89,Philly_income!$A$2:$C$324,3,FALSE)</f>
        <v>29257</v>
      </c>
      <c r="L89" t="str">
        <f t="shared" si="1"/>
        <v xml:space="preserve"> Philadelphia</v>
      </c>
    </row>
    <row r="90" spans="1:12" hidden="1" x14ac:dyDescent="0.2">
      <c r="A90">
        <v>42101002500</v>
      </c>
      <c r="B90" t="s">
        <v>156</v>
      </c>
      <c r="C90">
        <v>0.86609999999999998</v>
      </c>
      <c r="D90" t="e">
        <f>VLOOKUP(A90,Philly_income!$A$2:$C$324,3,FALSE)</f>
        <v>#N/A</v>
      </c>
      <c r="L90" t="str">
        <f t="shared" si="1"/>
        <v xml:space="preserve"> Philadelphia</v>
      </c>
    </row>
    <row r="91" spans="1:12" x14ac:dyDescent="0.2">
      <c r="A91">
        <v>42101005400</v>
      </c>
      <c r="B91" t="s">
        <v>157</v>
      </c>
      <c r="C91" s="7">
        <v>0.76670000000000005</v>
      </c>
      <c r="D91">
        <f>VLOOKUP(A91,Philly_income!$A$2:$C$324,3,FALSE)</f>
        <v>29309</v>
      </c>
      <c r="L91" t="str">
        <f t="shared" si="1"/>
        <v xml:space="preserve"> Philadelphia</v>
      </c>
    </row>
    <row r="92" spans="1:12" hidden="1" x14ac:dyDescent="0.2">
      <c r="A92">
        <v>42101024600</v>
      </c>
      <c r="B92" t="s">
        <v>189</v>
      </c>
      <c r="C92">
        <v>0.86580000000000001</v>
      </c>
      <c r="D92" t="e">
        <f>VLOOKUP(A92,Philly_income!$A$2:$C$324,3,FALSE)</f>
        <v>#N/A</v>
      </c>
      <c r="L92" t="str">
        <f t="shared" si="1"/>
        <v xml:space="preserve"> Philadelphia</v>
      </c>
    </row>
    <row r="93" spans="1:12" hidden="1" x14ac:dyDescent="0.2">
      <c r="A93">
        <v>34007601900</v>
      </c>
      <c r="B93" t="s">
        <v>180</v>
      </c>
      <c r="C93">
        <v>0.86539999999999995</v>
      </c>
      <c r="L93" t="str">
        <f t="shared" si="1"/>
        <v xml:space="preserve"> Camden</v>
      </c>
    </row>
    <row r="94" spans="1:12" hidden="1" x14ac:dyDescent="0.2">
      <c r="A94">
        <v>42101029900</v>
      </c>
      <c r="B94" t="s">
        <v>218</v>
      </c>
      <c r="C94">
        <v>0.86529999999999996</v>
      </c>
      <c r="D94" t="e">
        <f>VLOOKUP(A94,Philly_income!$A$2:$C$324,3,FALSE)</f>
        <v>#N/A</v>
      </c>
      <c r="L94" t="str">
        <f t="shared" si="1"/>
        <v xml:space="preserve"> Philadelphia</v>
      </c>
    </row>
    <row r="95" spans="1:12" hidden="1" x14ac:dyDescent="0.2">
      <c r="A95">
        <v>42101015800</v>
      </c>
      <c r="B95" t="s">
        <v>244</v>
      </c>
      <c r="C95">
        <v>0.86519999999999997</v>
      </c>
      <c r="D95" t="e">
        <f>VLOOKUP(A95,Philly_income!$A$2:$C$324,3,FALSE)</f>
        <v>#N/A</v>
      </c>
      <c r="L95" t="str">
        <f t="shared" si="1"/>
        <v xml:space="preserve"> Philadelphia</v>
      </c>
    </row>
    <row r="96" spans="1:12" hidden="1" x14ac:dyDescent="0.2">
      <c r="A96">
        <v>34007607000</v>
      </c>
      <c r="B96" t="s">
        <v>264</v>
      </c>
      <c r="C96">
        <v>0.86499999999999999</v>
      </c>
      <c r="L96" t="e">
        <f t="shared" si="1"/>
        <v>#VALUE!</v>
      </c>
    </row>
    <row r="97" spans="1:12" hidden="1" x14ac:dyDescent="0.2">
      <c r="A97">
        <v>42101002000</v>
      </c>
      <c r="B97" t="s">
        <v>170</v>
      </c>
      <c r="C97">
        <v>0.86499999999999999</v>
      </c>
      <c r="D97" t="e">
        <f>VLOOKUP(A97,Philly_income!$A$2:$C$324,3,FALSE)</f>
        <v>#N/A</v>
      </c>
      <c r="L97" t="str">
        <f t="shared" si="1"/>
        <v xml:space="preserve"> Philadelphia</v>
      </c>
    </row>
    <row r="98" spans="1:12" hidden="1" x14ac:dyDescent="0.2">
      <c r="A98">
        <v>42101036303</v>
      </c>
      <c r="B98" t="s">
        <v>155</v>
      </c>
      <c r="C98">
        <v>0.86460000000000004</v>
      </c>
      <c r="D98" t="e">
        <f>VLOOKUP(A98,Philly_income!$A$2:$C$324,3,FALSE)</f>
        <v>#N/A</v>
      </c>
      <c r="L98" t="str">
        <f t="shared" si="1"/>
        <v xml:space="preserve"> Philadelphia</v>
      </c>
    </row>
    <row r="99" spans="1:12" hidden="1" x14ac:dyDescent="0.2">
      <c r="A99">
        <v>42101028200</v>
      </c>
      <c r="B99" t="s">
        <v>203</v>
      </c>
      <c r="C99">
        <v>0.86439999999999995</v>
      </c>
      <c r="D99" t="e">
        <f>VLOOKUP(A99,Philly_income!$A$2:$C$324,3,FALSE)</f>
        <v>#N/A</v>
      </c>
      <c r="L99" t="str">
        <f t="shared" si="1"/>
        <v xml:space="preserve"> Philadelphia</v>
      </c>
    </row>
    <row r="100" spans="1:12" hidden="1" x14ac:dyDescent="0.2">
      <c r="A100">
        <v>42101028100</v>
      </c>
      <c r="B100" t="s">
        <v>203</v>
      </c>
      <c r="C100">
        <v>0.86409999999999998</v>
      </c>
      <c r="D100" t="e">
        <f>VLOOKUP(A100,Philly_income!$A$2:$C$324,3,FALSE)</f>
        <v>#N/A</v>
      </c>
      <c r="L100" t="str">
        <f t="shared" si="1"/>
        <v xml:space="preserve"> Philadelphia</v>
      </c>
    </row>
    <row r="101" spans="1:12" hidden="1" x14ac:dyDescent="0.2">
      <c r="A101">
        <v>42101027600</v>
      </c>
      <c r="B101" t="s">
        <v>203</v>
      </c>
      <c r="C101">
        <v>0.8639</v>
      </c>
      <c r="D101" t="e">
        <f>VLOOKUP(A101,Philly_income!$A$2:$C$324,3,FALSE)</f>
        <v>#N/A</v>
      </c>
      <c r="L101" t="str">
        <f t="shared" si="1"/>
        <v xml:space="preserve"> Philadelphia</v>
      </c>
    </row>
    <row r="102" spans="1:12" x14ac:dyDescent="0.2">
      <c r="A102">
        <v>42101000100</v>
      </c>
      <c r="B102" t="s">
        <v>235</v>
      </c>
      <c r="C102" s="7">
        <v>0.56610000000000005</v>
      </c>
      <c r="D102">
        <f>VLOOKUP(A102,Philly_income!$A$2:$C$324,3,FALSE)</f>
        <v>29311</v>
      </c>
      <c r="L102" t="str">
        <f t="shared" si="1"/>
        <v xml:space="preserve"> Philadelphia</v>
      </c>
    </row>
    <row r="103" spans="1:12" x14ac:dyDescent="0.2">
      <c r="A103">
        <v>42101003001</v>
      </c>
      <c r="B103" t="s">
        <v>201</v>
      </c>
      <c r="C103" s="7">
        <v>0.82940000000000003</v>
      </c>
      <c r="D103">
        <f>VLOOKUP(A103,Philly_income!$A$2:$C$324,3,FALSE)</f>
        <v>29428</v>
      </c>
      <c r="L103" t="str">
        <f t="shared" si="1"/>
        <v xml:space="preserve"> Philadelphia</v>
      </c>
    </row>
    <row r="104" spans="1:12" hidden="1" x14ac:dyDescent="0.2">
      <c r="A104">
        <v>42101001400</v>
      </c>
      <c r="B104" t="s">
        <v>177</v>
      </c>
      <c r="C104">
        <v>0.86270000000000002</v>
      </c>
      <c r="D104" t="e">
        <f>VLOOKUP(A104,Philly_income!$A$2:$C$324,3,FALSE)</f>
        <v>#N/A</v>
      </c>
      <c r="L104" t="str">
        <f t="shared" si="1"/>
        <v xml:space="preserve"> Philadelphia</v>
      </c>
    </row>
    <row r="105" spans="1:12" hidden="1" x14ac:dyDescent="0.2">
      <c r="A105">
        <v>42101003002</v>
      </c>
      <c r="B105" t="s">
        <v>201</v>
      </c>
      <c r="C105">
        <v>0.86260000000000003</v>
      </c>
      <c r="D105" t="e">
        <f>VLOOKUP(A105,Philly_income!$A$2:$C$324,3,FALSE)</f>
        <v>#N/A</v>
      </c>
      <c r="L105" t="str">
        <f t="shared" si="1"/>
        <v xml:space="preserve"> Philadelphia</v>
      </c>
    </row>
    <row r="106" spans="1:12" hidden="1" x14ac:dyDescent="0.2">
      <c r="A106">
        <v>42101019200</v>
      </c>
      <c r="B106" t="s">
        <v>166</v>
      </c>
      <c r="C106">
        <v>0.86229999999999996</v>
      </c>
      <c r="D106" t="e">
        <f>VLOOKUP(A106,Philly_income!$A$2:$C$324,3,FALSE)</f>
        <v>#N/A</v>
      </c>
      <c r="L106" t="str">
        <f t="shared" si="1"/>
        <v xml:space="preserve"> Philadelphia</v>
      </c>
    </row>
    <row r="107" spans="1:12" hidden="1" x14ac:dyDescent="0.2">
      <c r="A107">
        <v>42101006700</v>
      </c>
      <c r="B107" t="s">
        <v>210</v>
      </c>
      <c r="C107">
        <v>0.86219999999999997</v>
      </c>
      <c r="D107" t="e">
        <f>VLOOKUP(A107,Philly_income!$A$2:$C$324,3,FALSE)</f>
        <v>#N/A</v>
      </c>
      <c r="L107" t="str">
        <f t="shared" si="1"/>
        <v xml:space="preserve"> Philadelphia</v>
      </c>
    </row>
    <row r="108" spans="1:12" hidden="1" x14ac:dyDescent="0.2">
      <c r="A108">
        <v>42101020101</v>
      </c>
      <c r="B108" t="s">
        <v>166</v>
      </c>
      <c r="C108">
        <v>0.86209999999999998</v>
      </c>
      <c r="D108" t="e">
        <f>VLOOKUP(A108,Philly_income!$A$2:$C$324,3,FALSE)</f>
        <v>#N/A</v>
      </c>
      <c r="L108" t="str">
        <f t="shared" si="1"/>
        <v xml:space="preserve"> Philadelphia</v>
      </c>
    </row>
    <row r="109" spans="1:12" hidden="1" x14ac:dyDescent="0.2">
      <c r="A109">
        <v>34007601400</v>
      </c>
      <c r="B109" t="s">
        <v>185</v>
      </c>
      <c r="C109">
        <v>0.8619</v>
      </c>
      <c r="L109" t="str">
        <f t="shared" si="1"/>
        <v xml:space="preserve"> Camden</v>
      </c>
    </row>
    <row r="110" spans="1:12" hidden="1" x14ac:dyDescent="0.2">
      <c r="A110">
        <v>42101016800</v>
      </c>
      <c r="B110" t="s">
        <v>166</v>
      </c>
      <c r="C110">
        <v>0.86180000000000001</v>
      </c>
      <c r="D110" t="e">
        <f>VLOOKUP(A110,Philly_income!$A$2:$C$324,3,FALSE)</f>
        <v>#N/A</v>
      </c>
      <c r="L110" t="str">
        <f t="shared" si="1"/>
        <v xml:space="preserve"> Philadelphia</v>
      </c>
    </row>
    <row r="111" spans="1:12" hidden="1" x14ac:dyDescent="0.2">
      <c r="A111">
        <v>42045401402</v>
      </c>
      <c r="B111" t="s">
        <v>265</v>
      </c>
      <c r="C111">
        <v>0.86170000000000002</v>
      </c>
      <c r="L111" t="str">
        <f t="shared" si="1"/>
        <v xml:space="preserve"> Upper Darby</v>
      </c>
    </row>
    <row r="112" spans="1:12" hidden="1" x14ac:dyDescent="0.2">
      <c r="A112">
        <v>42101032100</v>
      </c>
      <c r="B112" t="s">
        <v>155</v>
      </c>
      <c r="C112">
        <v>0.86160000000000003</v>
      </c>
      <c r="D112" t="e">
        <f>VLOOKUP(A112,Philly_income!$A$2:$C$324,3,FALSE)</f>
        <v>#N/A</v>
      </c>
      <c r="L112" t="str">
        <f t="shared" si="1"/>
        <v xml:space="preserve"> Philadelphia</v>
      </c>
    </row>
    <row r="113" spans="1:12" hidden="1" x14ac:dyDescent="0.2">
      <c r="A113">
        <v>42101010400</v>
      </c>
      <c r="B113" t="s">
        <v>186</v>
      </c>
      <c r="C113">
        <v>0.86129999999999995</v>
      </c>
      <c r="D113" t="e">
        <f>VLOOKUP(A113,Philly_income!$A$2:$C$324,3,FALSE)</f>
        <v>#N/A</v>
      </c>
      <c r="L113" t="str">
        <f t="shared" si="1"/>
        <v xml:space="preserve"> Philadelphia</v>
      </c>
    </row>
    <row r="114" spans="1:12" hidden="1" x14ac:dyDescent="0.2">
      <c r="A114">
        <v>42101015101</v>
      </c>
      <c r="B114" t="s">
        <v>166</v>
      </c>
      <c r="C114">
        <v>0.86119999999999997</v>
      </c>
      <c r="D114" t="e">
        <f>VLOOKUP(A114,Philly_income!$A$2:$C$324,3,FALSE)</f>
        <v>#N/A</v>
      </c>
      <c r="L114" t="str">
        <f t="shared" si="1"/>
        <v xml:space="preserve"> Philadelphia</v>
      </c>
    </row>
    <row r="115" spans="1:12" x14ac:dyDescent="0.2">
      <c r="A115">
        <v>42101006000</v>
      </c>
      <c r="B115" t="s">
        <v>159</v>
      </c>
      <c r="C115" s="7">
        <v>0.8246</v>
      </c>
      <c r="D115">
        <f>VLOOKUP(A115,Philly_income!$A$2:$C$324,3,FALSE)</f>
        <v>29525</v>
      </c>
      <c r="L115" t="str">
        <f t="shared" si="1"/>
        <v xml:space="preserve"> Philadelphia</v>
      </c>
    </row>
    <row r="116" spans="1:12" hidden="1" x14ac:dyDescent="0.2">
      <c r="A116">
        <v>42101002100</v>
      </c>
      <c r="B116" t="s">
        <v>170</v>
      </c>
      <c r="C116">
        <v>0.85929999999999995</v>
      </c>
      <c r="D116" t="e">
        <f>VLOOKUP(A116,Philly_income!$A$2:$C$324,3,FALSE)</f>
        <v>#N/A</v>
      </c>
      <c r="L116" t="str">
        <f t="shared" si="1"/>
        <v xml:space="preserve"> Philadelphia</v>
      </c>
    </row>
    <row r="117" spans="1:12" hidden="1" x14ac:dyDescent="0.2">
      <c r="A117">
        <v>42101007300</v>
      </c>
      <c r="B117" t="s">
        <v>159</v>
      </c>
      <c r="C117">
        <v>0.85909999999999997</v>
      </c>
      <c r="D117" t="e">
        <f>VLOOKUP(A117,Philly_income!$A$2:$C$324,3,FALSE)</f>
        <v>#N/A</v>
      </c>
      <c r="L117" t="str">
        <f t="shared" si="1"/>
        <v xml:space="preserve"> Philadelphia</v>
      </c>
    </row>
    <row r="118" spans="1:12" hidden="1" x14ac:dyDescent="0.2">
      <c r="A118">
        <v>34007601101</v>
      </c>
      <c r="B118" t="s">
        <v>197</v>
      </c>
      <c r="C118">
        <v>0.85899999999999999</v>
      </c>
      <c r="L118" t="str">
        <f t="shared" si="1"/>
        <v xml:space="preserve"> Camden</v>
      </c>
    </row>
    <row r="119" spans="1:12" hidden="1" x14ac:dyDescent="0.2">
      <c r="A119">
        <v>42101017500</v>
      </c>
      <c r="B119" t="s">
        <v>169</v>
      </c>
      <c r="C119">
        <v>0.85870000000000002</v>
      </c>
      <c r="D119" t="e">
        <f>VLOOKUP(A119,Philly_income!$A$2:$C$324,3,FALSE)</f>
        <v>#N/A</v>
      </c>
      <c r="L119" t="str">
        <f t="shared" si="1"/>
        <v xml:space="preserve"> Philadelphia</v>
      </c>
    </row>
    <row r="120" spans="1:12" hidden="1" x14ac:dyDescent="0.2">
      <c r="A120">
        <v>42101030000</v>
      </c>
      <c r="B120" t="s">
        <v>218</v>
      </c>
      <c r="C120">
        <v>0.85850000000000004</v>
      </c>
      <c r="D120" t="e">
        <f>VLOOKUP(A120,Philly_income!$A$2:$C$324,3,FALSE)</f>
        <v>#N/A</v>
      </c>
      <c r="L120" t="str">
        <f t="shared" si="1"/>
        <v xml:space="preserve"> Philadelphia</v>
      </c>
    </row>
    <row r="121" spans="1:12" hidden="1" x14ac:dyDescent="0.2">
      <c r="A121">
        <v>42101024700</v>
      </c>
      <c r="B121" t="s">
        <v>189</v>
      </c>
      <c r="C121">
        <v>0.85840000000000005</v>
      </c>
      <c r="D121" t="e">
        <f>VLOOKUP(A121,Philly_income!$A$2:$C$324,3,FALSE)</f>
        <v>#N/A</v>
      </c>
      <c r="L121" t="str">
        <f t="shared" si="1"/>
        <v xml:space="preserve"> Philadelphia</v>
      </c>
    </row>
    <row r="122" spans="1:12" hidden="1" x14ac:dyDescent="0.2">
      <c r="A122">
        <v>42101008302</v>
      </c>
      <c r="B122" t="s">
        <v>196</v>
      </c>
      <c r="C122">
        <v>0.85840000000000005</v>
      </c>
      <c r="D122" t="e">
        <f>VLOOKUP(A122,Philly_income!$A$2:$C$324,3,FALSE)</f>
        <v>#N/A</v>
      </c>
      <c r="L122" t="str">
        <f t="shared" si="1"/>
        <v xml:space="preserve"> Philadelphia</v>
      </c>
    </row>
    <row r="123" spans="1:12" x14ac:dyDescent="0.2">
      <c r="A123">
        <v>42101021400</v>
      </c>
      <c r="B123" t="s">
        <v>255</v>
      </c>
      <c r="C123" s="7">
        <v>0.8054</v>
      </c>
      <c r="D123">
        <f>VLOOKUP(A123,Philly_income!$A$2:$C$324,3,FALSE)</f>
        <v>29711</v>
      </c>
      <c r="L123" t="str">
        <f t="shared" si="1"/>
        <v xml:space="preserve"> Philadelphia</v>
      </c>
    </row>
    <row r="124" spans="1:12" hidden="1" x14ac:dyDescent="0.2">
      <c r="A124">
        <v>34007601300</v>
      </c>
      <c r="B124" t="s">
        <v>198</v>
      </c>
      <c r="C124">
        <v>0.8579</v>
      </c>
      <c r="L124" t="str">
        <f t="shared" si="1"/>
        <v xml:space="preserve"> Camden</v>
      </c>
    </row>
    <row r="125" spans="1:12" hidden="1" x14ac:dyDescent="0.2">
      <c r="A125">
        <v>42101016901</v>
      </c>
      <c r="B125" t="s">
        <v>166</v>
      </c>
      <c r="C125">
        <v>0.8579</v>
      </c>
      <c r="D125" t="e">
        <f>VLOOKUP(A125,Philly_income!$A$2:$C$324,3,FALSE)</f>
        <v>#N/A</v>
      </c>
      <c r="L125" t="str">
        <f t="shared" si="1"/>
        <v xml:space="preserve"> Philadelphia</v>
      </c>
    </row>
    <row r="126" spans="1:12" hidden="1" x14ac:dyDescent="0.2">
      <c r="A126">
        <v>42101036203</v>
      </c>
      <c r="B126" t="s">
        <v>320</v>
      </c>
      <c r="C126">
        <v>0.8579</v>
      </c>
      <c r="D126" t="e">
        <f>VLOOKUP(A126,Philly_income!$A$2:$C$324,3,FALSE)</f>
        <v>#N/A</v>
      </c>
      <c r="L126" t="str">
        <f t="shared" si="1"/>
        <v xml:space="preserve"> Philadelphia</v>
      </c>
    </row>
    <row r="127" spans="1:12" hidden="1" x14ac:dyDescent="0.2">
      <c r="A127">
        <v>42101026600</v>
      </c>
      <c r="B127" t="s">
        <v>166</v>
      </c>
      <c r="C127">
        <v>0.85780000000000001</v>
      </c>
      <c r="D127" t="e">
        <f>VLOOKUP(A127,Philly_income!$A$2:$C$324,3,FALSE)</f>
        <v>#N/A</v>
      </c>
      <c r="L127" t="str">
        <f t="shared" si="1"/>
        <v xml:space="preserve"> Philadelphia</v>
      </c>
    </row>
    <row r="128" spans="1:12" hidden="1" x14ac:dyDescent="0.2">
      <c r="A128">
        <v>42101016701</v>
      </c>
      <c r="B128" t="s">
        <v>166</v>
      </c>
      <c r="C128">
        <v>0.85760000000000003</v>
      </c>
      <c r="D128" t="e">
        <f>VLOOKUP(A128,Philly_income!$A$2:$C$324,3,FALSE)</f>
        <v>#N/A</v>
      </c>
      <c r="L128" t="str">
        <f t="shared" si="1"/>
        <v xml:space="preserve"> Philadelphia</v>
      </c>
    </row>
    <row r="129" spans="1:12" hidden="1" x14ac:dyDescent="0.2">
      <c r="A129">
        <v>42101024200</v>
      </c>
      <c r="B129" t="s">
        <v>200</v>
      </c>
      <c r="C129">
        <v>0.85750000000000004</v>
      </c>
      <c r="D129" t="e">
        <f>VLOOKUP(A129,Philly_income!$A$2:$C$324,3,FALSE)</f>
        <v>#N/A</v>
      </c>
      <c r="L129" t="str">
        <f t="shared" si="1"/>
        <v xml:space="preserve"> Philadelphia</v>
      </c>
    </row>
    <row r="130" spans="1:12" hidden="1" x14ac:dyDescent="0.2">
      <c r="A130">
        <v>42101020102</v>
      </c>
      <c r="B130" t="s">
        <v>166</v>
      </c>
      <c r="C130">
        <v>0.85729999999999995</v>
      </c>
      <c r="D130" t="e">
        <f>VLOOKUP(A130,Philly_income!$A$2:$C$324,3,FALSE)</f>
        <v>#N/A</v>
      </c>
      <c r="L130" t="str">
        <f t="shared" si="1"/>
        <v xml:space="preserve"> Philadelphia</v>
      </c>
    </row>
    <row r="131" spans="1:12" hidden="1" x14ac:dyDescent="0.2">
      <c r="A131">
        <v>42101028800</v>
      </c>
      <c r="B131" t="s">
        <v>220</v>
      </c>
      <c r="C131">
        <v>0.85719999999999996</v>
      </c>
      <c r="D131" t="e">
        <f>VLOOKUP(A131,Philly_income!$A$2:$C$324,3,FALSE)</f>
        <v>#N/A</v>
      </c>
      <c r="L131" t="str">
        <f t="shared" ref="L131:L194" si="2">MID($B131, FIND(",",$B131)+1, FIND(",",$B131,FIND(",",$B131)+1) -1 -FIND(",",$B131))</f>
        <v xml:space="preserve"> Philadelphia</v>
      </c>
    </row>
    <row r="132" spans="1:12" x14ac:dyDescent="0.2">
      <c r="A132">
        <v>42101031300</v>
      </c>
      <c r="B132" t="s">
        <v>249</v>
      </c>
      <c r="C132" s="7">
        <v>0.79339999999999999</v>
      </c>
      <c r="D132">
        <f>VLOOKUP(A132,Philly_income!$A$2:$C$324,3,FALSE)</f>
        <v>29733</v>
      </c>
      <c r="L132" t="str">
        <f t="shared" si="2"/>
        <v xml:space="preserve"> Philadelphia</v>
      </c>
    </row>
    <row r="133" spans="1:12" hidden="1" x14ac:dyDescent="0.2">
      <c r="A133">
        <v>42101008102</v>
      </c>
      <c r="B133" t="s">
        <v>160</v>
      </c>
      <c r="C133">
        <v>0.85580000000000001</v>
      </c>
      <c r="D133" t="e">
        <f>VLOOKUP(A133,Philly_income!$A$2:$C$324,3,FALSE)</f>
        <v>#N/A</v>
      </c>
      <c r="L133" t="str">
        <f t="shared" si="2"/>
        <v xml:space="preserve"> Philadelphia</v>
      </c>
    </row>
    <row r="134" spans="1:12" hidden="1" x14ac:dyDescent="0.2">
      <c r="A134">
        <v>42101017300</v>
      </c>
      <c r="B134" t="s">
        <v>171</v>
      </c>
      <c r="C134">
        <v>0.85570000000000002</v>
      </c>
      <c r="D134" t="e">
        <f>VLOOKUP(A134,Philly_income!$A$2:$C$324,3,FALSE)</f>
        <v>#N/A</v>
      </c>
      <c r="L134" t="str">
        <f t="shared" si="2"/>
        <v xml:space="preserve"> Philadelphia</v>
      </c>
    </row>
    <row r="135" spans="1:12" hidden="1" x14ac:dyDescent="0.2">
      <c r="A135">
        <v>42101020300</v>
      </c>
      <c r="B135" t="s">
        <v>166</v>
      </c>
      <c r="C135">
        <v>0.85560000000000003</v>
      </c>
      <c r="D135" t="e">
        <f>VLOOKUP(A135,Philly_income!$A$2:$C$324,3,FALSE)</f>
        <v>#N/A</v>
      </c>
      <c r="L135" t="str">
        <f t="shared" si="2"/>
        <v xml:space="preserve"> Philadelphia</v>
      </c>
    </row>
    <row r="136" spans="1:12" hidden="1" x14ac:dyDescent="0.2">
      <c r="A136">
        <v>42101029800</v>
      </c>
      <c r="B136" t="s">
        <v>155</v>
      </c>
      <c r="C136">
        <v>0.85560000000000003</v>
      </c>
      <c r="D136" t="e">
        <f>VLOOKUP(A136,Philly_income!$A$2:$C$324,3,FALSE)</f>
        <v>#N/A</v>
      </c>
      <c r="L136" t="str">
        <f t="shared" si="2"/>
        <v xml:space="preserve"> Philadelphia</v>
      </c>
    </row>
    <row r="137" spans="1:12" x14ac:dyDescent="0.2">
      <c r="A137">
        <v>42101027100</v>
      </c>
      <c r="B137" t="s">
        <v>166</v>
      </c>
      <c r="C137" s="7">
        <v>0.78120000000000001</v>
      </c>
      <c r="D137">
        <f>VLOOKUP(A137,Philly_income!$A$2:$C$324,3,FALSE)</f>
        <v>29741</v>
      </c>
      <c r="L137" t="str">
        <f t="shared" si="2"/>
        <v xml:space="preserve"> Philadelphia</v>
      </c>
    </row>
    <row r="138" spans="1:12" hidden="1" x14ac:dyDescent="0.2">
      <c r="A138">
        <v>42045403502</v>
      </c>
      <c r="B138" t="s">
        <v>272</v>
      </c>
      <c r="C138">
        <v>0.85470000000000002</v>
      </c>
      <c r="L138" t="e">
        <f t="shared" si="2"/>
        <v>#VALUE!</v>
      </c>
    </row>
    <row r="139" spans="1:12" hidden="1" x14ac:dyDescent="0.2">
      <c r="A139">
        <v>42045401700</v>
      </c>
      <c r="B139" t="s">
        <v>229</v>
      </c>
      <c r="C139">
        <v>0.85460000000000003</v>
      </c>
      <c r="L139" t="e">
        <f t="shared" si="2"/>
        <v>#VALUE!</v>
      </c>
    </row>
    <row r="140" spans="1:12" x14ac:dyDescent="0.2">
      <c r="A140">
        <v>42101032900</v>
      </c>
      <c r="B140" t="s">
        <v>154</v>
      </c>
      <c r="C140" s="7">
        <v>0.83069999999999999</v>
      </c>
      <c r="D140">
        <f>VLOOKUP(A140,Philly_income!$A$2:$C$324,3,FALSE)</f>
        <v>29751</v>
      </c>
      <c r="L140" t="str">
        <f t="shared" si="2"/>
        <v xml:space="preserve"> Philadelphia</v>
      </c>
    </row>
    <row r="141" spans="1:12" x14ac:dyDescent="0.2">
      <c r="A141">
        <v>42101026100</v>
      </c>
      <c r="B141" t="s">
        <v>166</v>
      </c>
      <c r="C141" s="7">
        <v>0.8044</v>
      </c>
      <c r="D141">
        <f>VLOOKUP(A141,Philly_income!$A$2:$C$324,3,FALSE)</f>
        <v>29920</v>
      </c>
      <c r="L141" t="str">
        <f t="shared" si="2"/>
        <v xml:space="preserve"> Philadelphia</v>
      </c>
    </row>
    <row r="142" spans="1:12" hidden="1" x14ac:dyDescent="0.2">
      <c r="A142">
        <v>42101010900</v>
      </c>
      <c r="B142" t="s">
        <v>175</v>
      </c>
      <c r="C142">
        <v>0.85409999999999997</v>
      </c>
      <c r="D142" t="e">
        <f>VLOOKUP(A142,Philly_income!$A$2:$C$324,3,FALSE)</f>
        <v>#N/A</v>
      </c>
      <c r="L142" t="str">
        <f t="shared" si="2"/>
        <v xml:space="preserve"> Philadelphia</v>
      </c>
    </row>
    <row r="143" spans="1:12" hidden="1" x14ac:dyDescent="0.2">
      <c r="A143">
        <v>42101019800</v>
      </c>
      <c r="B143" t="s">
        <v>161</v>
      </c>
      <c r="C143">
        <v>0.85409999999999997</v>
      </c>
      <c r="D143" t="e">
        <f>VLOOKUP(A143,Philly_income!$A$2:$C$324,3,FALSE)</f>
        <v>#N/A</v>
      </c>
      <c r="L143" t="str">
        <f t="shared" si="2"/>
        <v xml:space="preserve"> Philadelphia</v>
      </c>
    </row>
    <row r="144" spans="1:12" hidden="1" x14ac:dyDescent="0.2">
      <c r="A144">
        <v>42101009200</v>
      </c>
      <c r="B144" t="s">
        <v>184</v>
      </c>
      <c r="C144">
        <v>0.8538</v>
      </c>
      <c r="D144" t="e">
        <f>VLOOKUP(A144,Philly_income!$A$2:$C$324,3,FALSE)</f>
        <v>#N/A</v>
      </c>
      <c r="L144" t="str">
        <f t="shared" si="2"/>
        <v xml:space="preserve"> Philadelphia</v>
      </c>
    </row>
    <row r="145" spans="1:12" hidden="1" x14ac:dyDescent="0.2">
      <c r="A145">
        <v>42101029200</v>
      </c>
      <c r="B145" t="s">
        <v>238</v>
      </c>
      <c r="C145">
        <v>0.8538</v>
      </c>
      <c r="D145" t="e">
        <f>VLOOKUP(A145,Philly_income!$A$2:$C$324,3,FALSE)</f>
        <v>#N/A</v>
      </c>
      <c r="L145" t="str">
        <f t="shared" si="2"/>
        <v xml:space="preserve"> Philadelphia</v>
      </c>
    </row>
    <row r="146" spans="1:12" hidden="1" x14ac:dyDescent="0.2">
      <c r="A146">
        <v>42045401101</v>
      </c>
      <c r="B146" t="s">
        <v>265</v>
      </c>
      <c r="C146">
        <v>0.8538</v>
      </c>
      <c r="L146" t="str">
        <f t="shared" si="2"/>
        <v xml:space="preserve"> Upper Darby</v>
      </c>
    </row>
    <row r="147" spans="1:12" hidden="1" x14ac:dyDescent="0.2">
      <c r="A147">
        <v>42101013300</v>
      </c>
      <c r="B147" t="s">
        <v>172</v>
      </c>
      <c r="C147">
        <v>0.85370000000000001</v>
      </c>
      <c r="D147" t="e">
        <f>VLOOKUP(A147,Philly_income!$A$2:$C$324,3,FALSE)</f>
        <v>#N/A</v>
      </c>
      <c r="L147" t="str">
        <f t="shared" si="2"/>
        <v xml:space="preserve"> Philadelphia</v>
      </c>
    </row>
    <row r="148" spans="1:12" hidden="1" x14ac:dyDescent="0.2">
      <c r="A148">
        <v>42101017100</v>
      </c>
      <c r="B148" t="s">
        <v>171</v>
      </c>
      <c r="C148">
        <v>0.85370000000000001</v>
      </c>
      <c r="D148" t="e">
        <f>VLOOKUP(A148,Philly_income!$A$2:$C$324,3,FALSE)</f>
        <v>#N/A</v>
      </c>
      <c r="L148" t="str">
        <f t="shared" si="2"/>
        <v xml:space="preserve"> Philadelphia</v>
      </c>
    </row>
    <row r="149" spans="1:12" hidden="1" x14ac:dyDescent="0.2">
      <c r="A149">
        <v>42101007102</v>
      </c>
      <c r="B149" t="s">
        <v>159</v>
      </c>
      <c r="C149">
        <v>0.85360000000000003</v>
      </c>
      <c r="D149" t="e">
        <f>VLOOKUP(A149,Philly_income!$A$2:$C$324,3,FALSE)</f>
        <v>#N/A</v>
      </c>
      <c r="L149" t="str">
        <f t="shared" si="2"/>
        <v xml:space="preserve"> Philadelphia</v>
      </c>
    </row>
    <row r="150" spans="1:12" x14ac:dyDescent="0.2">
      <c r="A150">
        <v>42101030501</v>
      </c>
      <c r="B150" t="s">
        <v>238</v>
      </c>
      <c r="C150" s="7">
        <v>0.83679999999999999</v>
      </c>
      <c r="D150">
        <f>VLOOKUP(A150,Philly_income!$A$2:$C$324,3,FALSE)</f>
        <v>29975</v>
      </c>
      <c r="L150" t="str">
        <f t="shared" si="2"/>
        <v xml:space="preserve"> Philadelphia</v>
      </c>
    </row>
    <row r="151" spans="1:12" hidden="1" x14ac:dyDescent="0.2">
      <c r="A151">
        <v>34007611000</v>
      </c>
      <c r="B151" t="s">
        <v>242</v>
      </c>
      <c r="C151">
        <v>0.85270000000000001</v>
      </c>
      <c r="L151" t="e">
        <f t="shared" si="2"/>
        <v>#VALUE!</v>
      </c>
    </row>
    <row r="152" spans="1:12" hidden="1" x14ac:dyDescent="0.2">
      <c r="A152">
        <v>34007610300</v>
      </c>
      <c r="B152" t="s">
        <v>208</v>
      </c>
      <c r="C152">
        <v>0.85229999999999995</v>
      </c>
      <c r="L152" t="str">
        <f t="shared" si="2"/>
        <v xml:space="preserve"> Camden</v>
      </c>
    </row>
    <row r="153" spans="1:12" hidden="1" x14ac:dyDescent="0.2">
      <c r="A153">
        <v>34015500300</v>
      </c>
      <c r="B153" t="s">
        <v>278</v>
      </c>
      <c r="C153">
        <v>0.85209999999999997</v>
      </c>
      <c r="L153" t="e">
        <f t="shared" si="2"/>
        <v>#VALUE!</v>
      </c>
    </row>
    <row r="154" spans="1:12" hidden="1" x14ac:dyDescent="0.2">
      <c r="A154">
        <v>42101018800</v>
      </c>
      <c r="B154" t="s">
        <v>224</v>
      </c>
      <c r="C154">
        <v>0.85189999999999999</v>
      </c>
      <c r="D154" t="e">
        <f>VLOOKUP(A154,Philly_income!$A$2:$C$324,3,FALSE)</f>
        <v>#N/A</v>
      </c>
      <c r="L154" t="str">
        <f t="shared" si="2"/>
        <v xml:space="preserve"> Philadelphia</v>
      </c>
    </row>
    <row r="155" spans="1:12" hidden="1" x14ac:dyDescent="0.2">
      <c r="A155">
        <v>42101029400</v>
      </c>
      <c r="B155" t="s">
        <v>218</v>
      </c>
      <c r="C155">
        <v>0.8518</v>
      </c>
      <c r="D155" t="e">
        <f>VLOOKUP(A155,Philly_income!$A$2:$C$324,3,FALSE)</f>
        <v>#N/A</v>
      </c>
      <c r="L155" t="str">
        <f t="shared" si="2"/>
        <v xml:space="preserve"> Philadelphia</v>
      </c>
    </row>
    <row r="156" spans="1:12" hidden="1" x14ac:dyDescent="0.2">
      <c r="A156">
        <v>42101024500</v>
      </c>
      <c r="B156" t="s">
        <v>189</v>
      </c>
      <c r="C156">
        <v>0.85150000000000003</v>
      </c>
      <c r="D156" t="e">
        <f>VLOOKUP(A156,Philly_income!$A$2:$C$324,3,FALSE)</f>
        <v>#N/A</v>
      </c>
      <c r="L156" t="str">
        <f t="shared" si="2"/>
        <v xml:space="preserve"> Philadelphia</v>
      </c>
    </row>
    <row r="157" spans="1:12" hidden="1" x14ac:dyDescent="0.2">
      <c r="A157">
        <v>42091204101</v>
      </c>
      <c r="B157" t="s">
        <v>257</v>
      </c>
      <c r="C157">
        <v>0.85140000000000005</v>
      </c>
      <c r="L157" t="e">
        <f t="shared" si="2"/>
        <v>#VALUE!</v>
      </c>
    </row>
    <row r="158" spans="1:12" hidden="1" x14ac:dyDescent="0.2">
      <c r="A158">
        <v>42045403401</v>
      </c>
      <c r="B158" t="s">
        <v>260</v>
      </c>
      <c r="C158">
        <v>0.85099999999999998</v>
      </c>
      <c r="L158" t="e">
        <f t="shared" si="2"/>
        <v>#VALUE!</v>
      </c>
    </row>
    <row r="159" spans="1:12" hidden="1" x14ac:dyDescent="0.2">
      <c r="A159">
        <v>34007601600</v>
      </c>
      <c r="B159" t="s">
        <v>174</v>
      </c>
      <c r="C159">
        <v>0.85089999999999999</v>
      </c>
      <c r="L159" t="str">
        <f t="shared" si="2"/>
        <v xml:space="preserve"> Camden</v>
      </c>
    </row>
    <row r="160" spans="1:12" hidden="1" x14ac:dyDescent="0.2">
      <c r="A160">
        <v>42101011000</v>
      </c>
      <c r="B160" t="s">
        <v>173</v>
      </c>
      <c r="C160">
        <v>0.85089999999999999</v>
      </c>
      <c r="D160" t="e">
        <f>VLOOKUP(A160,Philly_income!$A$2:$C$324,3,FALSE)</f>
        <v>#N/A</v>
      </c>
      <c r="L160" t="str">
        <f t="shared" si="2"/>
        <v xml:space="preserve"> Philadelphia</v>
      </c>
    </row>
    <row r="161" spans="1:12" hidden="1" x14ac:dyDescent="0.2">
      <c r="A161">
        <v>34007601200</v>
      </c>
      <c r="B161" t="s">
        <v>209</v>
      </c>
      <c r="C161">
        <v>0.85089999999999999</v>
      </c>
      <c r="L161" t="str">
        <f t="shared" si="2"/>
        <v xml:space="preserve"> Camden</v>
      </c>
    </row>
    <row r="162" spans="1:12" x14ac:dyDescent="0.2">
      <c r="A162">
        <v>42101012204</v>
      </c>
      <c r="B162" t="s">
        <v>153</v>
      </c>
      <c r="C162" s="7">
        <v>0.67549999999999999</v>
      </c>
      <c r="D162">
        <f>VLOOKUP(A162,Philly_income!$A$2:$C$324,3,FALSE)</f>
        <v>30163</v>
      </c>
      <c r="L162" t="str">
        <f t="shared" si="2"/>
        <v xml:space="preserve"> Philadelphia</v>
      </c>
    </row>
    <row r="163" spans="1:12" x14ac:dyDescent="0.2">
      <c r="A163">
        <v>42101037200</v>
      </c>
      <c r="B163" t="s">
        <v>156</v>
      </c>
      <c r="C163" s="7">
        <v>0.83950000000000002</v>
      </c>
      <c r="D163">
        <f>VLOOKUP(A163,Philly_income!$A$2:$C$324,3,FALSE)</f>
        <v>30197</v>
      </c>
      <c r="L163" t="str">
        <f t="shared" si="2"/>
        <v xml:space="preserve"> Philadelphia</v>
      </c>
    </row>
    <row r="164" spans="1:12" hidden="1" x14ac:dyDescent="0.2">
      <c r="A164">
        <v>42101039000</v>
      </c>
      <c r="B164" t="s">
        <v>155</v>
      </c>
      <c r="C164">
        <v>0.85050000000000003</v>
      </c>
      <c r="D164" t="e">
        <f>VLOOKUP(A164,Philly_income!$A$2:$C$324,3,FALSE)</f>
        <v>#N/A</v>
      </c>
      <c r="L164" t="str">
        <f t="shared" si="2"/>
        <v xml:space="preserve"> Philadelphia</v>
      </c>
    </row>
    <row r="165" spans="1:12" hidden="1" x14ac:dyDescent="0.2">
      <c r="A165">
        <v>42101017000</v>
      </c>
      <c r="B165" t="s">
        <v>166</v>
      </c>
      <c r="C165">
        <v>0.85029999999999994</v>
      </c>
      <c r="D165" t="e">
        <f>VLOOKUP(A165,Philly_income!$A$2:$C$324,3,FALSE)</f>
        <v>#N/A</v>
      </c>
      <c r="L165" t="str">
        <f t="shared" si="2"/>
        <v xml:space="preserve"> Philadelphia</v>
      </c>
    </row>
    <row r="166" spans="1:12" hidden="1" x14ac:dyDescent="0.2">
      <c r="A166">
        <v>42101003100</v>
      </c>
      <c r="B166" t="s">
        <v>156</v>
      </c>
      <c r="C166">
        <v>0.85009999999999997</v>
      </c>
      <c r="D166" t="e">
        <f>VLOOKUP(A166,Philly_income!$A$2:$C$324,3,FALSE)</f>
        <v>#N/A</v>
      </c>
      <c r="L166" t="str">
        <f t="shared" si="2"/>
        <v xml:space="preserve"> Philadelphia</v>
      </c>
    </row>
    <row r="167" spans="1:12" hidden="1" x14ac:dyDescent="0.2">
      <c r="A167">
        <v>42101014000</v>
      </c>
      <c r="B167" t="s">
        <v>164</v>
      </c>
      <c r="C167">
        <v>0.84989999999999999</v>
      </c>
      <c r="D167" t="e">
        <f>VLOOKUP(A167,Philly_income!$A$2:$C$324,3,FALSE)</f>
        <v>#N/A</v>
      </c>
      <c r="L167" t="str">
        <f t="shared" si="2"/>
        <v xml:space="preserve"> Philadelphia</v>
      </c>
    </row>
    <row r="168" spans="1:12" hidden="1" x14ac:dyDescent="0.2">
      <c r="A168">
        <v>42101024800</v>
      </c>
      <c r="B168" t="s">
        <v>189</v>
      </c>
      <c r="C168">
        <v>0.8498</v>
      </c>
      <c r="D168" t="e">
        <f>VLOOKUP(A168,Philly_income!$A$2:$C$324,3,FALSE)</f>
        <v>#N/A</v>
      </c>
      <c r="L168" t="str">
        <f t="shared" si="2"/>
        <v xml:space="preserve"> Philadelphia</v>
      </c>
    </row>
    <row r="169" spans="1:12" hidden="1" x14ac:dyDescent="0.2">
      <c r="A169">
        <v>42045403103</v>
      </c>
      <c r="B169" t="s">
        <v>250</v>
      </c>
      <c r="C169">
        <v>0.84950000000000003</v>
      </c>
      <c r="L169" t="e">
        <f t="shared" si="2"/>
        <v>#VALUE!</v>
      </c>
    </row>
    <row r="170" spans="1:12" hidden="1" x14ac:dyDescent="0.2">
      <c r="A170">
        <v>42101008101</v>
      </c>
      <c r="B170" t="s">
        <v>206</v>
      </c>
      <c r="C170">
        <v>0.84889999999999999</v>
      </c>
      <c r="D170" t="e">
        <f>VLOOKUP(A170,Philly_income!$A$2:$C$324,3,FALSE)</f>
        <v>#N/A</v>
      </c>
      <c r="L170" t="str">
        <f t="shared" si="2"/>
        <v xml:space="preserve"> Philadelphia</v>
      </c>
    </row>
    <row r="171" spans="1:12" hidden="1" x14ac:dyDescent="0.2">
      <c r="A171">
        <v>34007605400</v>
      </c>
      <c r="B171" t="s">
        <v>300</v>
      </c>
      <c r="C171">
        <v>0.84889999999999999</v>
      </c>
      <c r="L171" t="e">
        <f t="shared" si="2"/>
        <v>#VALUE!</v>
      </c>
    </row>
    <row r="172" spans="1:12" x14ac:dyDescent="0.2">
      <c r="A172">
        <v>42101004001</v>
      </c>
      <c r="B172" t="s">
        <v>253</v>
      </c>
      <c r="C172" s="7">
        <v>0.87980000000000003</v>
      </c>
      <c r="D172">
        <f>VLOOKUP(A172,Philly_income!$A$2:$C$324,3,FALSE)</f>
        <v>30321</v>
      </c>
      <c r="L172" t="str">
        <f t="shared" si="2"/>
        <v xml:space="preserve"> Philadelphia</v>
      </c>
    </row>
    <row r="173" spans="1:12" x14ac:dyDescent="0.2">
      <c r="A173">
        <v>42101035100</v>
      </c>
      <c r="B173" t="s">
        <v>155</v>
      </c>
      <c r="C173" s="7">
        <v>0.78939999999999999</v>
      </c>
      <c r="D173">
        <f>VLOOKUP(A173,Philly_income!$A$2:$C$324,3,FALSE)</f>
        <v>30379</v>
      </c>
      <c r="L173" t="str">
        <f t="shared" si="2"/>
        <v xml:space="preserve"> Philadelphia</v>
      </c>
    </row>
    <row r="174" spans="1:12" hidden="1" x14ac:dyDescent="0.2">
      <c r="A174">
        <v>42101020500</v>
      </c>
      <c r="B174" t="s">
        <v>166</v>
      </c>
      <c r="C174">
        <v>0.84809999999999997</v>
      </c>
      <c r="D174" t="e">
        <f>VLOOKUP(A174,Philly_income!$A$2:$C$324,3,FALSE)</f>
        <v>#N/A</v>
      </c>
      <c r="L174" t="str">
        <f t="shared" si="2"/>
        <v xml:space="preserve"> Philadelphia</v>
      </c>
    </row>
    <row r="175" spans="1:12" hidden="1" x14ac:dyDescent="0.2">
      <c r="A175">
        <v>42101009100</v>
      </c>
      <c r="B175" t="s">
        <v>184</v>
      </c>
      <c r="C175">
        <v>0.84799999999999998</v>
      </c>
      <c r="D175" t="e">
        <f>VLOOKUP(A175,Philly_income!$A$2:$C$324,3,FALSE)</f>
        <v>#N/A</v>
      </c>
      <c r="L175" t="str">
        <f t="shared" si="2"/>
        <v xml:space="preserve"> Philadelphia</v>
      </c>
    </row>
    <row r="176" spans="1:12" hidden="1" x14ac:dyDescent="0.2">
      <c r="A176">
        <v>42045404103</v>
      </c>
      <c r="B176" t="s">
        <v>288</v>
      </c>
      <c r="C176">
        <v>0.84799999999999998</v>
      </c>
      <c r="L176" t="e">
        <f t="shared" si="2"/>
        <v>#VALUE!</v>
      </c>
    </row>
    <row r="177" spans="1:12" x14ac:dyDescent="0.2">
      <c r="A177">
        <v>42101031401</v>
      </c>
      <c r="B177" t="s">
        <v>249</v>
      </c>
      <c r="C177" s="7">
        <v>0.80720000000000003</v>
      </c>
      <c r="D177">
        <f>VLOOKUP(A177,Philly_income!$A$2:$C$324,3,FALSE)</f>
        <v>30620</v>
      </c>
      <c r="L177" t="str">
        <f t="shared" si="2"/>
        <v xml:space="preserve"> Philadelphia</v>
      </c>
    </row>
    <row r="178" spans="1:12" x14ac:dyDescent="0.2">
      <c r="A178">
        <v>42101033000</v>
      </c>
      <c r="B178" t="s">
        <v>154</v>
      </c>
      <c r="C178" s="7">
        <v>0.88590000000000002</v>
      </c>
      <c r="D178">
        <f>VLOOKUP(A178,Philly_income!$A$2:$C$324,3,FALSE)</f>
        <v>30640</v>
      </c>
      <c r="L178" t="str">
        <f t="shared" si="2"/>
        <v xml:space="preserve"> Philadelphia</v>
      </c>
    </row>
    <row r="179" spans="1:12" hidden="1" x14ac:dyDescent="0.2">
      <c r="A179">
        <v>42101019501</v>
      </c>
      <c r="B179" t="s">
        <v>169</v>
      </c>
      <c r="C179">
        <v>0.84709999999999996</v>
      </c>
      <c r="D179" t="e">
        <f>VLOOKUP(A179,Philly_income!$A$2:$C$324,3,FALSE)</f>
        <v>#N/A</v>
      </c>
      <c r="L179" t="str">
        <f t="shared" si="2"/>
        <v xml:space="preserve"> Philadelphia</v>
      </c>
    </row>
    <row r="180" spans="1:12" hidden="1" x14ac:dyDescent="0.2">
      <c r="A180">
        <v>42101026301</v>
      </c>
      <c r="B180" t="s">
        <v>166</v>
      </c>
      <c r="C180">
        <v>0.84699999999999998</v>
      </c>
      <c r="D180" t="e">
        <f>VLOOKUP(A180,Philly_income!$A$2:$C$324,3,FALSE)</f>
        <v>#N/A</v>
      </c>
      <c r="L180" t="str">
        <f t="shared" si="2"/>
        <v xml:space="preserve"> Philadelphia</v>
      </c>
    </row>
    <row r="181" spans="1:12" hidden="1" x14ac:dyDescent="0.2">
      <c r="A181">
        <v>42101016400</v>
      </c>
      <c r="B181" t="s">
        <v>166</v>
      </c>
      <c r="C181">
        <v>0.84699999999999998</v>
      </c>
      <c r="D181" t="e">
        <f>VLOOKUP(A181,Philly_income!$A$2:$C$324,3,FALSE)</f>
        <v>#N/A</v>
      </c>
      <c r="L181" t="str">
        <f t="shared" si="2"/>
        <v xml:space="preserve"> Philadelphia</v>
      </c>
    </row>
    <row r="182" spans="1:12" hidden="1" x14ac:dyDescent="0.2">
      <c r="A182">
        <v>42101009600</v>
      </c>
      <c r="B182" t="s">
        <v>181</v>
      </c>
      <c r="C182">
        <v>0.8468</v>
      </c>
      <c r="D182" t="e">
        <f>VLOOKUP(A182,Philly_income!$A$2:$C$324,3,FALSE)</f>
        <v>#N/A</v>
      </c>
      <c r="L182" t="str">
        <f t="shared" si="2"/>
        <v xml:space="preserve"> Philadelphia</v>
      </c>
    </row>
    <row r="183" spans="1:12" hidden="1" x14ac:dyDescent="0.2">
      <c r="A183">
        <v>42101020200</v>
      </c>
      <c r="B183" t="s">
        <v>166</v>
      </c>
      <c r="C183">
        <v>0.8468</v>
      </c>
      <c r="D183" t="e">
        <f>VLOOKUP(A183,Philly_income!$A$2:$C$324,3,FALSE)</f>
        <v>#N/A</v>
      </c>
      <c r="L183" t="str">
        <f t="shared" si="2"/>
        <v xml:space="preserve"> Philadelphia</v>
      </c>
    </row>
    <row r="184" spans="1:12" hidden="1" x14ac:dyDescent="0.2">
      <c r="A184">
        <v>34015500201</v>
      </c>
      <c r="B184" t="s">
        <v>310</v>
      </c>
      <c r="C184">
        <v>0.84650000000000003</v>
      </c>
      <c r="L184" t="e">
        <f t="shared" si="2"/>
        <v>#VALUE!</v>
      </c>
    </row>
    <row r="185" spans="1:12" hidden="1" x14ac:dyDescent="0.2">
      <c r="A185">
        <v>42101011100</v>
      </c>
      <c r="B185" t="s">
        <v>188</v>
      </c>
      <c r="C185">
        <v>0.84599999999999997</v>
      </c>
      <c r="D185" t="e">
        <f>VLOOKUP(A185,Philly_income!$A$2:$C$324,3,FALSE)</f>
        <v>#N/A</v>
      </c>
      <c r="L185" t="str">
        <f t="shared" si="2"/>
        <v xml:space="preserve"> Philadelphia</v>
      </c>
    </row>
    <row r="186" spans="1:12" hidden="1" x14ac:dyDescent="0.2">
      <c r="A186">
        <v>42101006900</v>
      </c>
      <c r="B186" t="s">
        <v>159</v>
      </c>
      <c r="C186">
        <v>0.84589999999999999</v>
      </c>
      <c r="D186" t="e">
        <f>VLOOKUP(A186,Philly_income!$A$2:$C$324,3,FALSE)</f>
        <v>#N/A</v>
      </c>
      <c r="L186" t="str">
        <f t="shared" si="2"/>
        <v xml:space="preserve"> Philadelphia</v>
      </c>
    </row>
    <row r="187" spans="1:12" hidden="1" x14ac:dyDescent="0.2">
      <c r="A187">
        <v>42101028300</v>
      </c>
      <c r="B187" t="s">
        <v>203</v>
      </c>
      <c r="C187">
        <v>0.84570000000000001</v>
      </c>
      <c r="D187" t="e">
        <f>VLOOKUP(A187,Philly_income!$A$2:$C$324,3,FALSE)</f>
        <v>#N/A</v>
      </c>
      <c r="L187" t="str">
        <f t="shared" si="2"/>
        <v xml:space="preserve"> Philadelphia</v>
      </c>
    </row>
    <row r="188" spans="1:12" x14ac:dyDescent="0.2">
      <c r="A188">
        <v>42101030200</v>
      </c>
      <c r="B188" t="s">
        <v>218</v>
      </c>
      <c r="C188" s="7">
        <v>0.80659999999999998</v>
      </c>
      <c r="D188">
        <f>VLOOKUP(A188,Philly_income!$A$2:$C$324,3,FALSE)</f>
        <v>30653</v>
      </c>
      <c r="L188" t="str">
        <f t="shared" si="2"/>
        <v xml:space="preserve"> Philadelphia</v>
      </c>
    </row>
    <row r="189" spans="1:12" x14ac:dyDescent="0.2">
      <c r="A189">
        <v>42101031101</v>
      </c>
      <c r="B189" t="s">
        <v>249</v>
      </c>
      <c r="C189" s="7">
        <v>0.79449999999999998</v>
      </c>
      <c r="D189">
        <f>VLOOKUP(A189,Philly_income!$A$2:$C$324,3,FALSE)</f>
        <v>30901</v>
      </c>
      <c r="L189" t="str">
        <f t="shared" si="2"/>
        <v xml:space="preserve"> Philadelphia</v>
      </c>
    </row>
    <row r="190" spans="1:12" hidden="1" x14ac:dyDescent="0.2">
      <c r="A190">
        <v>42101011200</v>
      </c>
      <c r="B190" t="s">
        <v>188</v>
      </c>
      <c r="C190">
        <v>0.84430000000000005</v>
      </c>
      <c r="D190" t="e">
        <f>VLOOKUP(A190,Philly_income!$A$2:$C$324,3,FALSE)</f>
        <v>#N/A</v>
      </c>
      <c r="L190" t="str">
        <f t="shared" si="2"/>
        <v xml:space="preserve"> Philadelphia</v>
      </c>
    </row>
    <row r="191" spans="1:12" hidden="1" x14ac:dyDescent="0.2">
      <c r="A191">
        <v>42101008301</v>
      </c>
      <c r="B191" t="s">
        <v>196</v>
      </c>
      <c r="C191">
        <v>0.84409999999999996</v>
      </c>
      <c r="D191" t="e">
        <f>VLOOKUP(A191,Philly_income!$A$2:$C$324,3,FALSE)</f>
        <v>#N/A</v>
      </c>
      <c r="L191" t="str">
        <f t="shared" si="2"/>
        <v xml:space="preserve"> Philadelphia</v>
      </c>
    </row>
    <row r="192" spans="1:12" hidden="1" x14ac:dyDescent="0.2">
      <c r="A192">
        <v>42101008200</v>
      </c>
      <c r="B192" t="s">
        <v>206</v>
      </c>
      <c r="C192">
        <v>0.84399999999999997</v>
      </c>
      <c r="D192" t="e">
        <f>VLOOKUP(A192,Philly_income!$A$2:$C$324,3,FALSE)</f>
        <v>#N/A</v>
      </c>
      <c r="L192" t="str">
        <f t="shared" si="2"/>
        <v xml:space="preserve"> Philadelphia</v>
      </c>
    </row>
    <row r="193" spans="1:12" hidden="1" x14ac:dyDescent="0.2">
      <c r="A193">
        <v>42101038000</v>
      </c>
      <c r="B193" t="s">
        <v>218</v>
      </c>
      <c r="C193">
        <v>0.84389999999999998</v>
      </c>
      <c r="D193" t="e">
        <f>VLOOKUP(A193,Philly_income!$A$2:$C$324,3,FALSE)</f>
        <v>#N/A</v>
      </c>
      <c r="L193" t="str">
        <f t="shared" si="2"/>
        <v xml:space="preserve"> Philadelphia</v>
      </c>
    </row>
    <row r="194" spans="1:12" hidden="1" x14ac:dyDescent="0.2">
      <c r="A194">
        <v>42101017201</v>
      </c>
      <c r="B194" t="s">
        <v>171</v>
      </c>
      <c r="C194">
        <v>0.84350000000000003</v>
      </c>
      <c r="D194" t="e">
        <f>VLOOKUP(A194,Philly_income!$A$2:$C$324,3,FALSE)</f>
        <v>#N/A</v>
      </c>
      <c r="L194" t="str">
        <f t="shared" si="2"/>
        <v xml:space="preserve"> Philadelphia</v>
      </c>
    </row>
    <row r="195" spans="1:12" hidden="1" x14ac:dyDescent="0.2">
      <c r="A195">
        <v>34007607200</v>
      </c>
      <c r="B195" t="s">
        <v>299</v>
      </c>
      <c r="C195">
        <v>0.84330000000000005</v>
      </c>
      <c r="L195" t="e">
        <f t="shared" ref="L195:L258" si="3">MID($B195, FIND(",",$B195)+1, FIND(",",$B195,FIND(",",$B195)+1) -1 -FIND(",",$B195))</f>
        <v>#VALUE!</v>
      </c>
    </row>
    <row r="196" spans="1:12" hidden="1" x14ac:dyDescent="0.2">
      <c r="A196">
        <v>42045403001</v>
      </c>
      <c r="B196" t="s">
        <v>311</v>
      </c>
      <c r="C196">
        <v>0.84309999999999996</v>
      </c>
      <c r="L196" t="str">
        <f t="shared" si="3"/>
        <v xml:space="preserve"> Glenolden</v>
      </c>
    </row>
    <row r="197" spans="1:12" hidden="1" x14ac:dyDescent="0.2">
      <c r="A197">
        <v>34007605300</v>
      </c>
      <c r="B197" t="s">
        <v>293</v>
      </c>
      <c r="C197">
        <v>0.84299999999999997</v>
      </c>
      <c r="L197" t="e">
        <f t="shared" si="3"/>
        <v>#VALUE!</v>
      </c>
    </row>
    <row r="198" spans="1:12" hidden="1" x14ac:dyDescent="0.2">
      <c r="A198">
        <v>34007610400</v>
      </c>
      <c r="B198" t="s">
        <v>187</v>
      </c>
      <c r="C198">
        <v>0.8427</v>
      </c>
      <c r="L198" t="str">
        <f t="shared" si="3"/>
        <v xml:space="preserve"> Camden</v>
      </c>
    </row>
    <row r="199" spans="1:12" hidden="1" x14ac:dyDescent="0.2">
      <c r="A199">
        <v>42101017900</v>
      </c>
      <c r="B199" t="s">
        <v>166</v>
      </c>
      <c r="C199">
        <v>0.84250000000000003</v>
      </c>
      <c r="D199" t="e">
        <f>VLOOKUP(A199,Philly_income!$A$2:$C$324,3,FALSE)</f>
        <v>#N/A</v>
      </c>
      <c r="L199" t="str">
        <f t="shared" si="3"/>
        <v xml:space="preserve"> Philadelphia</v>
      </c>
    </row>
    <row r="200" spans="1:12" hidden="1" x14ac:dyDescent="0.2">
      <c r="A200">
        <v>42101010000</v>
      </c>
      <c r="B200" t="s">
        <v>160</v>
      </c>
      <c r="C200">
        <v>0.84250000000000003</v>
      </c>
      <c r="D200" t="e">
        <f>VLOOKUP(A200,Philly_income!$A$2:$C$324,3,FALSE)</f>
        <v>#N/A</v>
      </c>
      <c r="L200" t="str">
        <f t="shared" si="3"/>
        <v xml:space="preserve"> Philadelphia</v>
      </c>
    </row>
    <row r="201" spans="1:12" hidden="1" x14ac:dyDescent="0.2">
      <c r="A201">
        <v>42101025300</v>
      </c>
      <c r="B201" t="s">
        <v>217</v>
      </c>
      <c r="C201">
        <v>0.84219999999999995</v>
      </c>
      <c r="D201" t="e">
        <f>VLOOKUP(A201,Philly_income!$A$2:$C$324,3,FALSE)</f>
        <v>#N/A</v>
      </c>
      <c r="L201" t="str">
        <f t="shared" si="3"/>
        <v xml:space="preserve"> Philadelphia</v>
      </c>
    </row>
    <row r="202" spans="1:12" hidden="1" x14ac:dyDescent="0.2">
      <c r="A202">
        <v>34007601800</v>
      </c>
      <c r="B202" t="s">
        <v>179</v>
      </c>
      <c r="C202">
        <v>0.84209999999999996</v>
      </c>
      <c r="L202" t="str">
        <f t="shared" si="3"/>
        <v xml:space="preserve"> Camden</v>
      </c>
    </row>
    <row r="203" spans="1:12" hidden="1" x14ac:dyDescent="0.2">
      <c r="A203">
        <v>42101017800</v>
      </c>
      <c r="B203" t="s">
        <v>166</v>
      </c>
      <c r="C203">
        <v>0.84160000000000001</v>
      </c>
      <c r="D203" t="e">
        <f>VLOOKUP(A203,Philly_income!$A$2:$C$324,3,FALSE)</f>
        <v>#N/A</v>
      </c>
      <c r="L203" t="str">
        <f t="shared" si="3"/>
        <v xml:space="preserve"> Philadelphia</v>
      </c>
    </row>
    <row r="204" spans="1:12" x14ac:dyDescent="0.2">
      <c r="A204">
        <v>42101012100</v>
      </c>
      <c r="B204" t="s">
        <v>211</v>
      </c>
      <c r="C204" s="7">
        <v>0.75849999999999995</v>
      </c>
      <c r="D204">
        <f>VLOOKUP(A204,Philly_income!$A$2:$C$324,3,FALSE)</f>
        <v>30957</v>
      </c>
      <c r="L204" t="str">
        <f t="shared" si="3"/>
        <v xml:space="preserve"> Philadelphia</v>
      </c>
    </row>
    <row r="205" spans="1:12" hidden="1" x14ac:dyDescent="0.2">
      <c r="A205">
        <v>42101029300</v>
      </c>
      <c r="B205" t="s">
        <v>218</v>
      </c>
      <c r="C205">
        <v>0.84150000000000003</v>
      </c>
      <c r="D205" t="e">
        <f>VLOOKUP(A205,Philly_income!$A$2:$C$324,3,FALSE)</f>
        <v>#N/A</v>
      </c>
      <c r="L205" t="str">
        <f t="shared" si="3"/>
        <v xml:space="preserve"> Philadelphia</v>
      </c>
    </row>
    <row r="206" spans="1:12" x14ac:dyDescent="0.2">
      <c r="A206">
        <v>42101013602</v>
      </c>
      <c r="B206" t="s">
        <v>182</v>
      </c>
      <c r="C206" s="7">
        <v>0.79269999999999996</v>
      </c>
      <c r="D206">
        <f>VLOOKUP(A206,Philly_income!$A$2:$C$324,3,FALSE)</f>
        <v>31039</v>
      </c>
      <c r="L206" t="str">
        <f t="shared" si="3"/>
        <v xml:space="preserve"> Philadelphia</v>
      </c>
    </row>
    <row r="207" spans="1:12" x14ac:dyDescent="0.2">
      <c r="A207">
        <v>42101021000</v>
      </c>
      <c r="B207" t="s">
        <v>255</v>
      </c>
      <c r="C207" s="7">
        <v>0.8407</v>
      </c>
      <c r="D207">
        <f>VLOOKUP(A207,Philly_income!$A$2:$C$324,3,FALSE)</f>
        <v>31131</v>
      </c>
      <c r="L207" t="str">
        <f t="shared" si="3"/>
        <v xml:space="preserve"> Philadelphia</v>
      </c>
    </row>
    <row r="208" spans="1:12" hidden="1" x14ac:dyDescent="0.2">
      <c r="A208">
        <v>42101002801</v>
      </c>
      <c r="B208" t="s">
        <v>156</v>
      </c>
      <c r="C208">
        <v>0.8407</v>
      </c>
      <c r="D208" t="e">
        <f>VLOOKUP(A208,Philly_income!$A$2:$C$324,3,FALSE)</f>
        <v>#N/A</v>
      </c>
      <c r="L208" t="str">
        <f t="shared" si="3"/>
        <v xml:space="preserve"> Philadelphia</v>
      </c>
    </row>
    <row r="209" spans="1:12" hidden="1" x14ac:dyDescent="0.2">
      <c r="A209">
        <v>42045403501</v>
      </c>
      <c r="B209" t="s">
        <v>272</v>
      </c>
      <c r="C209">
        <v>0.8407</v>
      </c>
      <c r="L209" t="e">
        <f t="shared" si="3"/>
        <v>#VALUE!</v>
      </c>
    </row>
    <row r="210" spans="1:12" hidden="1" x14ac:dyDescent="0.2">
      <c r="A210">
        <v>34007600800</v>
      </c>
      <c r="B210" t="s">
        <v>176</v>
      </c>
      <c r="C210">
        <v>0.84060000000000001</v>
      </c>
      <c r="L210" t="str">
        <f t="shared" si="3"/>
        <v xml:space="preserve"> Camden</v>
      </c>
    </row>
    <row r="211" spans="1:12" x14ac:dyDescent="0.2">
      <c r="A211">
        <v>42101006100</v>
      </c>
      <c r="B211" t="s">
        <v>210</v>
      </c>
      <c r="C211" s="7">
        <v>0.83499999999999996</v>
      </c>
      <c r="D211">
        <f>VLOOKUP(A211,Philly_income!$A$2:$C$324,3,FALSE)</f>
        <v>31134</v>
      </c>
      <c r="L211" t="str">
        <f t="shared" si="3"/>
        <v xml:space="preserve"> Philadelphia</v>
      </c>
    </row>
    <row r="212" spans="1:12" x14ac:dyDescent="0.2">
      <c r="A212">
        <v>42101031700</v>
      </c>
      <c r="B212" t="s">
        <v>275</v>
      </c>
      <c r="C212" s="7">
        <v>0.90310000000000001</v>
      </c>
      <c r="D212">
        <f>VLOOKUP(A212,Philly_income!$A$2:$C$324,3,FALSE)</f>
        <v>31222</v>
      </c>
      <c r="L212" t="str">
        <f t="shared" si="3"/>
        <v xml:space="preserve"> Philadelphia</v>
      </c>
    </row>
    <row r="213" spans="1:12" hidden="1" x14ac:dyDescent="0.2">
      <c r="A213">
        <v>42101008400</v>
      </c>
      <c r="B213" t="s">
        <v>196</v>
      </c>
      <c r="C213">
        <v>0.83979999999999999</v>
      </c>
      <c r="D213" t="e">
        <f>VLOOKUP(A213,Philly_income!$A$2:$C$324,3,FALSE)</f>
        <v>#N/A</v>
      </c>
      <c r="L213" t="str">
        <f t="shared" si="3"/>
        <v xml:space="preserve"> Philadelphia</v>
      </c>
    </row>
    <row r="214" spans="1:12" hidden="1" x14ac:dyDescent="0.2">
      <c r="A214">
        <v>42017100307</v>
      </c>
      <c r="B214" t="s">
        <v>256</v>
      </c>
      <c r="C214">
        <v>0.83979999999999999</v>
      </c>
      <c r="L214" t="e">
        <f t="shared" si="3"/>
        <v>#VALUE!</v>
      </c>
    </row>
    <row r="215" spans="1:12" hidden="1" x14ac:dyDescent="0.2">
      <c r="A215">
        <v>42101027402</v>
      </c>
      <c r="B215" t="s">
        <v>166</v>
      </c>
      <c r="C215">
        <v>0.8397</v>
      </c>
      <c r="D215" t="e">
        <f>VLOOKUP(A215,Philly_income!$A$2:$C$324,3,FALSE)</f>
        <v>#N/A</v>
      </c>
      <c r="L215" t="str">
        <f t="shared" si="3"/>
        <v xml:space="preserve"> Philadelphia</v>
      </c>
    </row>
    <row r="216" spans="1:12" hidden="1" x14ac:dyDescent="0.2">
      <c r="A216">
        <v>42101017602</v>
      </c>
      <c r="B216" t="s">
        <v>169</v>
      </c>
      <c r="C216">
        <v>0.8397</v>
      </c>
      <c r="D216" t="e">
        <f>VLOOKUP(A216,Philly_income!$A$2:$C$324,3,FALSE)</f>
        <v>#N/A</v>
      </c>
      <c r="L216" t="str">
        <f t="shared" si="3"/>
        <v xml:space="preserve"> Philadelphia</v>
      </c>
    </row>
    <row r="217" spans="1:12" x14ac:dyDescent="0.2">
      <c r="A217">
        <v>42101009000</v>
      </c>
      <c r="B217" t="s">
        <v>267</v>
      </c>
      <c r="C217" s="7">
        <v>0.60460000000000003</v>
      </c>
      <c r="D217">
        <f>VLOOKUP(A217,Philly_income!$A$2:$C$324,3,FALSE)</f>
        <v>31229</v>
      </c>
      <c r="L217" t="str">
        <f t="shared" si="3"/>
        <v xml:space="preserve"> Philadelphia</v>
      </c>
    </row>
    <row r="218" spans="1:12" hidden="1" x14ac:dyDescent="0.2">
      <c r="A218">
        <v>42101026700</v>
      </c>
      <c r="B218" t="s">
        <v>166</v>
      </c>
      <c r="C218">
        <v>0.83909999999999996</v>
      </c>
      <c r="D218" t="e">
        <f>VLOOKUP(A218,Philly_income!$A$2:$C$324,3,FALSE)</f>
        <v>#N/A</v>
      </c>
      <c r="L218" t="str">
        <f t="shared" si="3"/>
        <v xml:space="preserve"> Philadelphia</v>
      </c>
    </row>
    <row r="219" spans="1:12" x14ac:dyDescent="0.2">
      <c r="A219">
        <v>42101031102</v>
      </c>
      <c r="B219" t="s">
        <v>249</v>
      </c>
      <c r="C219" s="7">
        <v>0.84150000000000003</v>
      </c>
      <c r="D219">
        <f>VLOOKUP(A219,Philly_income!$A$2:$C$324,3,FALSE)</f>
        <v>31576</v>
      </c>
      <c r="L219" t="str">
        <f t="shared" si="3"/>
        <v xml:space="preserve"> Philadelphia</v>
      </c>
    </row>
    <row r="220" spans="1:12" hidden="1" x14ac:dyDescent="0.2">
      <c r="A220">
        <v>42101002400</v>
      </c>
      <c r="B220" t="s">
        <v>233</v>
      </c>
      <c r="C220">
        <v>0.83879999999999999</v>
      </c>
      <c r="D220" t="e">
        <f>VLOOKUP(A220,Philly_income!$A$2:$C$324,3,FALSE)</f>
        <v>#N/A</v>
      </c>
      <c r="L220" t="str">
        <f t="shared" si="3"/>
        <v xml:space="preserve"> Philadelphia</v>
      </c>
    </row>
    <row r="221" spans="1:12" hidden="1" x14ac:dyDescent="0.2">
      <c r="A221">
        <v>42045401401</v>
      </c>
      <c r="B221" t="s">
        <v>265</v>
      </c>
      <c r="C221">
        <v>0.83819999999999995</v>
      </c>
      <c r="L221" t="str">
        <f t="shared" si="3"/>
        <v xml:space="preserve"> Upper Darby</v>
      </c>
    </row>
    <row r="222" spans="1:12" hidden="1" x14ac:dyDescent="0.2">
      <c r="A222">
        <v>42101036302</v>
      </c>
      <c r="B222" t="s">
        <v>155</v>
      </c>
      <c r="C222">
        <v>0.83819999999999995</v>
      </c>
      <c r="D222" t="e">
        <f>VLOOKUP(A222,Philly_income!$A$2:$C$324,3,FALSE)</f>
        <v>#N/A</v>
      </c>
      <c r="L222" t="str">
        <f t="shared" si="3"/>
        <v xml:space="preserve"> Philadelphia</v>
      </c>
    </row>
    <row r="223" spans="1:12" x14ac:dyDescent="0.2">
      <c r="A223">
        <v>42101030502</v>
      </c>
      <c r="B223" t="s">
        <v>238</v>
      </c>
      <c r="C223" s="7">
        <v>0.85819999999999996</v>
      </c>
      <c r="D223">
        <f>VLOOKUP(A223,Philly_income!$A$2:$C$324,3,FALSE)</f>
        <v>31653</v>
      </c>
      <c r="L223" t="str">
        <f t="shared" si="3"/>
        <v xml:space="preserve"> Philadelphia</v>
      </c>
    </row>
    <row r="224" spans="1:12" hidden="1" x14ac:dyDescent="0.2">
      <c r="A224">
        <v>34007611700</v>
      </c>
      <c r="B224" t="s">
        <v>300</v>
      </c>
      <c r="C224">
        <v>0.83809999999999996</v>
      </c>
      <c r="L224" t="e">
        <f t="shared" si="3"/>
        <v>#VALUE!</v>
      </c>
    </row>
    <row r="225" spans="1:12" hidden="1" x14ac:dyDescent="0.2">
      <c r="A225">
        <v>42101014500</v>
      </c>
      <c r="B225" t="s">
        <v>165</v>
      </c>
      <c r="C225">
        <v>0.83799999999999997</v>
      </c>
      <c r="D225" t="e">
        <f>VLOOKUP(A225,Philly_income!$A$2:$C$324,3,FALSE)</f>
        <v>#N/A</v>
      </c>
      <c r="L225" t="str">
        <f t="shared" si="3"/>
        <v xml:space="preserve"> Philadelphia</v>
      </c>
    </row>
    <row r="226" spans="1:12" hidden="1" x14ac:dyDescent="0.2">
      <c r="A226">
        <v>42101016300</v>
      </c>
      <c r="B226" t="s">
        <v>166</v>
      </c>
      <c r="C226">
        <v>0.83750000000000002</v>
      </c>
      <c r="D226" t="e">
        <f>VLOOKUP(A226,Philly_income!$A$2:$C$324,3,FALSE)</f>
        <v>#N/A</v>
      </c>
      <c r="L226" t="str">
        <f t="shared" si="3"/>
        <v xml:space="preserve"> Philadelphia</v>
      </c>
    </row>
    <row r="227" spans="1:12" hidden="1" x14ac:dyDescent="0.2">
      <c r="A227">
        <v>34015500100</v>
      </c>
      <c r="B227" t="s">
        <v>252</v>
      </c>
      <c r="C227">
        <v>0.83730000000000004</v>
      </c>
      <c r="L227" t="e">
        <f t="shared" si="3"/>
        <v>#VALUE!</v>
      </c>
    </row>
    <row r="228" spans="1:12" hidden="1" x14ac:dyDescent="0.2">
      <c r="A228">
        <v>42101008500</v>
      </c>
      <c r="B228" t="s">
        <v>196</v>
      </c>
      <c r="C228">
        <v>0.83720000000000006</v>
      </c>
      <c r="D228" t="e">
        <f>VLOOKUP(A228,Philly_income!$A$2:$C$324,3,FALSE)</f>
        <v>#N/A</v>
      </c>
      <c r="L228" t="str">
        <f t="shared" si="3"/>
        <v xml:space="preserve"> Philadelphia</v>
      </c>
    </row>
    <row r="229" spans="1:12" hidden="1" x14ac:dyDescent="0.2">
      <c r="A229">
        <v>42101009400</v>
      </c>
      <c r="B229" t="s">
        <v>181</v>
      </c>
      <c r="C229">
        <v>0.83689999999999998</v>
      </c>
      <c r="D229" t="e">
        <f>VLOOKUP(A229,Philly_income!$A$2:$C$324,3,FALSE)</f>
        <v>#N/A</v>
      </c>
      <c r="L229" t="str">
        <f t="shared" si="3"/>
        <v xml:space="preserve"> Philadelphia</v>
      </c>
    </row>
    <row r="230" spans="1:12" x14ac:dyDescent="0.2">
      <c r="A230">
        <v>42101031402</v>
      </c>
      <c r="B230" t="s">
        <v>249</v>
      </c>
      <c r="C230" s="7">
        <v>0.8246</v>
      </c>
      <c r="D230">
        <f>VLOOKUP(A230,Philly_income!$A$2:$C$324,3,FALSE)</f>
        <v>31873</v>
      </c>
      <c r="L230" t="str">
        <f t="shared" si="3"/>
        <v xml:space="preserve"> Philadelphia</v>
      </c>
    </row>
    <row r="231" spans="1:12" hidden="1" x14ac:dyDescent="0.2">
      <c r="A231">
        <v>34007600200</v>
      </c>
      <c r="B231" t="s">
        <v>178</v>
      </c>
      <c r="C231">
        <v>0.83679999999999999</v>
      </c>
      <c r="L231" t="str">
        <f t="shared" si="3"/>
        <v xml:space="preserve"> Camden</v>
      </c>
    </row>
    <row r="232" spans="1:12" hidden="1" x14ac:dyDescent="0.2">
      <c r="A232">
        <v>42101027700</v>
      </c>
      <c r="B232" t="s">
        <v>203</v>
      </c>
      <c r="C232">
        <v>0.83679999999999999</v>
      </c>
      <c r="D232" t="e">
        <f>VLOOKUP(A232,Philly_income!$A$2:$C$324,3,FALSE)</f>
        <v>#N/A</v>
      </c>
      <c r="L232" t="str">
        <f t="shared" si="3"/>
        <v xml:space="preserve"> Philadelphia</v>
      </c>
    </row>
    <row r="233" spans="1:12" hidden="1" x14ac:dyDescent="0.2">
      <c r="A233">
        <v>34005700401</v>
      </c>
      <c r="B233" t="s">
        <v>240</v>
      </c>
      <c r="C233">
        <v>0.83650000000000002</v>
      </c>
      <c r="L233" t="e">
        <f t="shared" si="3"/>
        <v>#VALUE!</v>
      </c>
    </row>
    <row r="234" spans="1:12" hidden="1" x14ac:dyDescent="0.2">
      <c r="A234">
        <v>34007606800</v>
      </c>
      <c r="B234" t="s">
        <v>264</v>
      </c>
      <c r="C234">
        <v>0.83640000000000003</v>
      </c>
      <c r="L234" t="e">
        <f t="shared" si="3"/>
        <v>#VALUE!</v>
      </c>
    </row>
    <row r="235" spans="1:12" hidden="1" x14ac:dyDescent="0.2">
      <c r="A235">
        <v>42101010100</v>
      </c>
      <c r="B235" t="s">
        <v>188</v>
      </c>
      <c r="C235">
        <v>0.83599999999999997</v>
      </c>
      <c r="D235" t="e">
        <f>VLOOKUP(A235,Philly_income!$A$2:$C$324,3,FALSE)</f>
        <v>#N/A</v>
      </c>
      <c r="L235" t="str">
        <f t="shared" si="3"/>
        <v xml:space="preserve"> Philadelphia</v>
      </c>
    </row>
    <row r="236" spans="1:12" x14ac:dyDescent="0.2">
      <c r="A236">
        <v>42101001700</v>
      </c>
      <c r="B236" t="s">
        <v>259</v>
      </c>
      <c r="C236" s="7">
        <v>0.75970000000000004</v>
      </c>
      <c r="D236">
        <f>VLOOKUP(A236,Philly_income!$A$2:$C$324,3,FALSE)</f>
        <v>31901</v>
      </c>
      <c r="L236" t="str">
        <f t="shared" si="3"/>
        <v xml:space="preserve"> Philadelphia</v>
      </c>
    </row>
    <row r="237" spans="1:12" hidden="1" x14ac:dyDescent="0.2">
      <c r="A237">
        <v>42045403300</v>
      </c>
      <c r="B237" t="s">
        <v>263</v>
      </c>
      <c r="C237">
        <v>0.83579999999999999</v>
      </c>
      <c r="L237" t="e">
        <f t="shared" si="3"/>
        <v>#VALUE!</v>
      </c>
    </row>
    <row r="238" spans="1:12" hidden="1" x14ac:dyDescent="0.2">
      <c r="A238">
        <v>34007601000</v>
      </c>
      <c r="B238" t="s">
        <v>207</v>
      </c>
      <c r="C238">
        <v>0.8357</v>
      </c>
      <c r="L238" t="str">
        <f t="shared" si="3"/>
        <v xml:space="preserve"> Camden</v>
      </c>
    </row>
    <row r="239" spans="1:12" hidden="1" x14ac:dyDescent="0.2">
      <c r="A239">
        <v>42101007200</v>
      </c>
      <c r="B239" t="s">
        <v>206</v>
      </c>
      <c r="C239">
        <v>0.83550000000000002</v>
      </c>
      <c r="D239" t="e">
        <f>VLOOKUP(A239,Philly_income!$A$2:$C$324,3,FALSE)</f>
        <v>#N/A</v>
      </c>
      <c r="L239" t="str">
        <f t="shared" si="3"/>
        <v xml:space="preserve"> Philadelphia</v>
      </c>
    </row>
    <row r="240" spans="1:12" hidden="1" x14ac:dyDescent="0.2">
      <c r="A240">
        <v>42101017202</v>
      </c>
      <c r="B240" t="s">
        <v>171</v>
      </c>
      <c r="C240">
        <v>0.83530000000000004</v>
      </c>
      <c r="D240" t="e">
        <f>VLOOKUP(A240,Philly_income!$A$2:$C$324,3,FALSE)</f>
        <v>#N/A</v>
      </c>
      <c r="L240" t="str">
        <f t="shared" si="3"/>
        <v xml:space="preserve"> Philadelphia</v>
      </c>
    </row>
    <row r="241" spans="1:12" x14ac:dyDescent="0.2">
      <c r="A241">
        <v>42101003902</v>
      </c>
      <c r="B241" t="s">
        <v>156</v>
      </c>
      <c r="C241" s="7">
        <v>0.92169999999999996</v>
      </c>
      <c r="D241">
        <f>VLOOKUP(A241,Philly_income!$A$2:$C$324,3,FALSE)</f>
        <v>31998</v>
      </c>
      <c r="L241" t="str">
        <f t="shared" si="3"/>
        <v xml:space="preserve"> Philadelphia</v>
      </c>
    </row>
    <row r="242" spans="1:12" hidden="1" x14ac:dyDescent="0.2">
      <c r="A242">
        <v>42101017702</v>
      </c>
      <c r="B242" t="s">
        <v>166</v>
      </c>
      <c r="C242">
        <v>0.83430000000000004</v>
      </c>
      <c r="D242" t="e">
        <f>VLOOKUP(A242,Philly_income!$A$2:$C$324,3,FALSE)</f>
        <v>#N/A</v>
      </c>
      <c r="L242" t="str">
        <f t="shared" si="3"/>
        <v xml:space="preserve"> Philadelphia</v>
      </c>
    </row>
    <row r="243" spans="1:12" hidden="1" x14ac:dyDescent="0.2">
      <c r="A243">
        <v>42101007400</v>
      </c>
      <c r="B243" t="s">
        <v>159</v>
      </c>
      <c r="C243">
        <v>0.83399999999999996</v>
      </c>
      <c r="D243" t="e">
        <f>VLOOKUP(A243,Philly_income!$A$2:$C$324,3,FALSE)</f>
        <v>#N/A</v>
      </c>
      <c r="L243" t="str">
        <f t="shared" si="3"/>
        <v xml:space="preserve"> Philadelphia</v>
      </c>
    </row>
    <row r="244" spans="1:12" hidden="1" x14ac:dyDescent="0.2">
      <c r="A244">
        <v>42101015600</v>
      </c>
      <c r="B244" t="s">
        <v>190</v>
      </c>
      <c r="C244">
        <v>0.83399999999999996</v>
      </c>
      <c r="D244" t="e">
        <f>VLOOKUP(A244,Philly_income!$A$2:$C$324,3,FALSE)</f>
        <v>#N/A</v>
      </c>
      <c r="L244" t="str">
        <f t="shared" si="3"/>
        <v xml:space="preserve"> Philadelphia</v>
      </c>
    </row>
    <row r="245" spans="1:12" hidden="1" x14ac:dyDescent="0.2">
      <c r="A245">
        <v>42045403104</v>
      </c>
      <c r="B245" t="s">
        <v>250</v>
      </c>
      <c r="C245">
        <v>0.83389999999999997</v>
      </c>
      <c r="L245" t="e">
        <f t="shared" si="3"/>
        <v>#VALUE!</v>
      </c>
    </row>
    <row r="246" spans="1:12" hidden="1" x14ac:dyDescent="0.2">
      <c r="A246">
        <v>42045403402</v>
      </c>
      <c r="B246" t="s">
        <v>260</v>
      </c>
      <c r="C246">
        <v>0.8337</v>
      </c>
      <c r="L246" t="e">
        <f t="shared" si="3"/>
        <v>#VALUE!</v>
      </c>
    </row>
    <row r="247" spans="1:12" hidden="1" x14ac:dyDescent="0.2">
      <c r="A247">
        <v>42045403002</v>
      </c>
      <c r="B247" t="s">
        <v>311</v>
      </c>
      <c r="C247">
        <v>0.83350000000000002</v>
      </c>
      <c r="L247" t="str">
        <f t="shared" si="3"/>
        <v xml:space="preserve"> Glenolden</v>
      </c>
    </row>
    <row r="248" spans="1:12" hidden="1" x14ac:dyDescent="0.2">
      <c r="A248">
        <v>34015500202</v>
      </c>
      <c r="B248" t="s">
        <v>270</v>
      </c>
      <c r="C248">
        <v>0.83350000000000002</v>
      </c>
      <c r="L248" t="e">
        <f t="shared" si="3"/>
        <v>#VALUE!</v>
      </c>
    </row>
    <row r="249" spans="1:12" hidden="1" x14ac:dyDescent="0.2">
      <c r="A249">
        <v>42101002701</v>
      </c>
      <c r="B249" t="s">
        <v>216</v>
      </c>
      <c r="C249">
        <v>0.83340000000000003</v>
      </c>
      <c r="D249" t="e">
        <f>VLOOKUP(A249,Philly_income!$A$2:$C$324,3,FALSE)</f>
        <v>#N/A</v>
      </c>
      <c r="L249" t="str">
        <f t="shared" si="3"/>
        <v xml:space="preserve"> Philadelphia</v>
      </c>
    </row>
    <row r="250" spans="1:12" hidden="1" x14ac:dyDescent="0.2">
      <c r="A250">
        <v>42101007700</v>
      </c>
      <c r="B250" t="s">
        <v>205</v>
      </c>
      <c r="C250">
        <v>0.83320000000000005</v>
      </c>
      <c r="D250" t="e">
        <f>VLOOKUP(A250,Philly_income!$A$2:$C$324,3,FALSE)</f>
        <v>#N/A</v>
      </c>
      <c r="L250" t="str">
        <f t="shared" si="3"/>
        <v xml:space="preserve"> Philadelphia</v>
      </c>
    </row>
    <row r="251" spans="1:12" hidden="1" x14ac:dyDescent="0.2">
      <c r="A251">
        <v>42101037800</v>
      </c>
      <c r="B251" t="s">
        <v>166</v>
      </c>
      <c r="C251">
        <v>0.83289999999999997</v>
      </c>
      <c r="D251" t="e">
        <f>VLOOKUP(A251,Philly_income!$A$2:$C$324,3,FALSE)</f>
        <v>#N/A</v>
      </c>
      <c r="L251" t="str">
        <f t="shared" si="3"/>
        <v xml:space="preserve"> Philadelphia</v>
      </c>
    </row>
    <row r="252" spans="1:12" hidden="1" x14ac:dyDescent="0.2">
      <c r="A252">
        <v>42101013900</v>
      </c>
      <c r="B252" t="s">
        <v>164</v>
      </c>
      <c r="C252">
        <v>0.8327</v>
      </c>
      <c r="D252" t="e">
        <f>VLOOKUP(A252,Philly_income!$A$2:$C$324,3,FALSE)</f>
        <v>#N/A</v>
      </c>
      <c r="L252" t="str">
        <f t="shared" si="3"/>
        <v xml:space="preserve"> Philadelphia</v>
      </c>
    </row>
    <row r="253" spans="1:12" x14ac:dyDescent="0.2">
      <c r="A253">
        <v>42101025500</v>
      </c>
      <c r="B253" t="s">
        <v>158</v>
      </c>
      <c r="C253" s="7">
        <v>0.70989999999999998</v>
      </c>
      <c r="D253">
        <f>VLOOKUP(A253,Philly_income!$A$2:$C$324,3,FALSE)</f>
        <v>32117</v>
      </c>
      <c r="L253" t="str">
        <f t="shared" si="3"/>
        <v xml:space="preserve"> Philadelphia</v>
      </c>
    </row>
    <row r="254" spans="1:12" hidden="1" x14ac:dyDescent="0.2">
      <c r="A254">
        <v>34007602503</v>
      </c>
      <c r="B254" t="s">
        <v>228</v>
      </c>
      <c r="C254">
        <v>0.83220000000000005</v>
      </c>
      <c r="L254" t="e">
        <f t="shared" si="3"/>
        <v>#VALUE!</v>
      </c>
    </row>
    <row r="255" spans="1:12" hidden="1" x14ac:dyDescent="0.2">
      <c r="A255">
        <v>42101026400</v>
      </c>
      <c r="B255" t="s">
        <v>166</v>
      </c>
      <c r="C255">
        <v>0.83220000000000005</v>
      </c>
      <c r="D255" t="e">
        <f>VLOOKUP(A255,Philly_income!$A$2:$C$324,3,FALSE)</f>
        <v>#N/A</v>
      </c>
      <c r="L255" t="str">
        <f t="shared" si="3"/>
        <v xml:space="preserve"> Philadelphia</v>
      </c>
    </row>
    <row r="256" spans="1:12" x14ac:dyDescent="0.2">
      <c r="A256">
        <v>42101034900</v>
      </c>
      <c r="B256" t="s">
        <v>154</v>
      </c>
      <c r="C256" s="7">
        <v>0.879</v>
      </c>
      <c r="D256">
        <f>VLOOKUP(A256,Philly_income!$A$2:$C$324,3,FALSE)</f>
        <v>32127</v>
      </c>
      <c r="L256" t="str">
        <f t="shared" si="3"/>
        <v xml:space="preserve"> Philadelphia</v>
      </c>
    </row>
    <row r="257" spans="1:12" hidden="1" x14ac:dyDescent="0.2">
      <c r="A257">
        <v>42101026500</v>
      </c>
      <c r="B257" t="s">
        <v>166</v>
      </c>
      <c r="C257">
        <v>0.83130000000000004</v>
      </c>
      <c r="D257" t="e">
        <f>VLOOKUP(A257,Philly_income!$A$2:$C$324,3,FALSE)</f>
        <v>#N/A</v>
      </c>
      <c r="L257" t="str">
        <f t="shared" si="3"/>
        <v xml:space="preserve"> Philadelphia</v>
      </c>
    </row>
    <row r="258" spans="1:12" x14ac:dyDescent="0.2">
      <c r="A258">
        <v>42101002702</v>
      </c>
      <c r="B258" t="s">
        <v>289</v>
      </c>
      <c r="C258" s="7">
        <v>0.88939999999999997</v>
      </c>
      <c r="D258">
        <f>VLOOKUP(A258,Philly_income!$A$2:$C$324,3,FALSE)</f>
        <v>32150</v>
      </c>
      <c r="L258" t="str">
        <f t="shared" si="3"/>
        <v xml:space="preserve"> Philadelphia</v>
      </c>
    </row>
    <row r="259" spans="1:12" hidden="1" x14ac:dyDescent="0.2">
      <c r="A259">
        <v>34007604700</v>
      </c>
      <c r="B259" t="s">
        <v>222</v>
      </c>
      <c r="C259">
        <v>0.83050000000000002</v>
      </c>
      <c r="L259" t="e">
        <f t="shared" ref="L259:L322" si="4">MID($B259, FIND(",",$B259)+1, FIND(",",$B259,FIND(",",$B259)+1) -1 -FIND(",",$B259))</f>
        <v>#VALUE!</v>
      </c>
    </row>
    <row r="260" spans="1:12" hidden="1" x14ac:dyDescent="0.2">
      <c r="A260">
        <v>42101011800</v>
      </c>
      <c r="B260" t="s">
        <v>214</v>
      </c>
      <c r="C260">
        <v>0.83040000000000003</v>
      </c>
      <c r="D260" t="e">
        <f>VLOOKUP(A260,Philly_income!$A$2:$C$324,3,FALSE)</f>
        <v>#N/A</v>
      </c>
      <c r="L260" t="str">
        <f t="shared" si="4"/>
        <v xml:space="preserve"> Philadelphia</v>
      </c>
    </row>
    <row r="261" spans="1:12" x14ac:dyDescent="0.2">
      <c r="A261">
        <v>42101018400</v>
      </c>
      <c r="B261" t="s">
        <v>166</v>
      </c>
      <c r="C261" s="7">
        <v>0.86629999999999996</v>
      </c>
      <c r="D261">
        <f>VLOOKUP(A261,Philly_income!$A$2:$C$324,3,FALSE)</f>
        <v>32282</v>
      </c>
      <c r="L261" t="str">
        <f t="shared" si="4"/>
        <v xml:space="preserve"> Philadelphia</v>
      </c>
    </row>
    <row r="262" spans="1:12" x14ac:dyDescent="0.2">
      <c r="A262">
        <v>42101020900</v>
      </c>
      <c r="B262" t="s">
        <v>158</v>
      </c>
      <c r="C262" s="7">
        <v>0.84050000000000002</v>
      </c>
      <c r="D262">
        <f>VLOOKUP(A262,Philly_income!$A$2:$C$324,3,FALSE)</f>
        <v>32331</v>
      </c>
      <c r="L262" t="str">
        <f t="shared" si="4"/>
        <v xml:space="preserve"> Philadelphia</v>
      </c>
    </row>
    <row r="263" spans="1:12" x14ac:dyDescent="0.2">
      <c r="A263">
        <v>42101002802</v>
      </c>
      <c r="B263" t="s">
        <v>282</v>
      </c>
      <c r="C263" s="7">
        <v>0.87549999999999994</v>
      </c>
      <c r="D263">
        <f>VLOOKUP(A263,Philly_income!$A$2:$C$324,3,FALSE)</f>
        <v>32365</v>
      </c>
      <c r="L263" t="str">
        <f t="shared" si="4"/>
        <v xml:space="preserve"> Philadelphia</v>
      </c>
    </row>
    <row r="264" spans="1:12" hidden="1" x14ac:dyDescent="0.2">
      <c r="A264">
        <v>34007600900</v>
      </c>
      <c r="B264" t="s">
        <v>195</v>
      </c>
      <c r="C264">
        <v>0.8286</v>
      </c>
      <c r="L264" t="str">
        <f t="shared" si="4"/>
        <v xml:space="preserve"> Camden</v>
      </c>
    </row>
    <row r="265" spans="1:12" hidden="1" x14ac:dyDescent="0.2">
      <c r="A265">
        <v>42045404004</v>
      </c>
      <c r="B265" t="s">
        <v>281</v>
      </c>
      <c r="C265">
        <v>0.82840000000000003</v>
      </c>
      <c r="L265" t="e">
        <f t="shared" si="4"/>
        <v>#VALUE!</v>
      </c>
    </row>
    <row r="266" spans="1:12" hidden="1" x14ac:dyDescent="0.2">
      <c r="A266">
        <v>42101016200</v>
      </c>
      <c r="B266" t="s">
        <v>190</v>
      </c>
      <c r="C266">
        <v>0.82799999999999996</v>
      </c>
      <c r="D266" t="e">
        <f>VLOOKUP(A266,Philly_income!$A$2:$C$324,3,FALSE)</f>
        <v>#N/A</v>
      </c>
      <c r="L266" t="str">
        <f t="shared" si="4"/>
        <v xml:space="preserve"> Philadelphia</v>
      </c>
    </row>
    <row r="267" spans="1:12" hidden="1" x14ac:dyDescent="0.2">
      <c r="A267">
        <v>42045400500</v>
      </c>
      <c r="B267" t="s">
        <v>237</v>
      </c>
      <c r="C267">
        <v>0.82779999999999998</v>
      </c>
      <c r="L267" t="e">
        <f t="shared" si="4"/>
        <v>#VALUE!</v>
      </c>
    </row>
    <row r="268" spans="1:12" hidden="1" x14ac:dyDescent="0.2">
      <c r="A268">
        <v>42101011500</v>
      </c>
      <c r="B268" t="s">
        <v>214</v>
      </c>
      <c r="C268">
        <v>0.82750000000000001</v>
      </c>
      <c r="D268" t="e">
        <f>VLOOKUP(A268,Philly_income!$A$2:$C$324,3,FALSE)</f>
        <v>#N/A</v>
      </c>
      <c r="L268" t="str">
        <f t="shared" si="4"/>
        <v xml:space="preserve"> Philadelphia</v>
      </c>
    </row>
    <row r="269" spans="1:12" x14ac:dyDescent="0.2">
      <c r="A269">
        <v>42101002900</v>
      </c>
      <c r="B269" t="s">
        <v>246</v>
      </c>
      <c r="C269" s="7">
        <v>0.85060000000000002</v>
      </c>
      <c r="D269">
        <f>VLOOKUP(A269,Philly_income!$A$2:$C$324,3,FALSE)</f>
        <v>32439</v>
      </c>
      <c r="L269" t="str">
        <f t="shared" si="4"/>
        <v xml:space="preserve"> Philadelphia</v>
      </c>
    </row>
    <row r="270" spans="1:12" hidden="1" x14ac:dyDescent="0.2">
      <c r="A270">
        <v>42045402600</v>
      </c>
      <c r="B270" t="s">
        <v>215</v>
      </c>
      <c r="C270">
        <v>0.82609999999999995</v>
      </c>
      <c r="L270" t="e">
        <f t="shared" si="4"/>
        <v>#VALUE!</v>
      </c>
    </row>
    <row r="271" spans="1:12" hidden="1" x14ac:dyDescent="0.2">
      <c r="A271">
        <v>42101027902</v>
      </c>
      <c r="B271" t="s">
        <v>213</v>
      </c>
      <c r="C271">
        <v>0.82569999999999999</v>
      </c>
      <c r="D271" t="e">
        <f>VLOOKUP(A271,Philly_income!$A$2:$C$324,3,FALSE)</f>
        <v>#N/A</v>
      </c>
      <c r="L271" t="str">
        <f t="shared" si="4"/>
        <v xml:space="preserve"> Philadelphia</v>
      </c>
    </row>
    <row r="272" spans="1:12" hidden="1" x14ac:dyDescent="0.2">
      <c r="A272">
        <v>42101027500</v>
      </c>
      <c r="B272" t="s">
        <v>166</v>
      </c>
      <c r="C272">
        <v>0.82569999999999999</v>
      </c>
      <c r="D272" t="e">
        <f>VLOOKUP(A272,Philly_income!$A$2:$C$324,3,FALSE)</f>
        <v>#N/A</v>
      </c>
      <c r="L272" t="str">
        <f t="shared" si="4"/>
        <v xml:space="preserve"> Philadelphia</v>
      </c>
    </row>
    <row r="273" spans="1:12" hidden="1" x14ac:dyDescent="0.2">
      <c r="A273">
        <v>42101027800</v>
      </c>
      <c r="B273" t="s">
        <v>194</v>
      </c>
      <c r="C273">
        <v>0.82569999999999999</v>
      </c>
      <c r="D273" t="e">
        <f>VLOOKUP(A273,Philly_income!$A$2:$C$324,3,FALSE)</f>
        <v>#N/A</v>
      </c>
      <c r="L273" t="str">
        <f t="shared" si="4"/>
        <v xml:space="preserve"> Philadelphia</v>
      </c>
    </row>
    <row r="274" spans="1:12" hidden="1" x14ac:dyDescent="0.2">
      <c r="A274">
        <v>42101019502</v>
      </c>
      <c r="B274" t="s">
        <v>169</v>
      </c>
      <c r="C274">
        <v>0.8256</v>
      </c>
      <c r="D274" t="e">
        <f>VLOOKUP(A274,Philly_income!$A$2:$C$324,3,FALSE)</f>
        <v>#N/A</v>
      </c>
      <c r="L274" t="str">
        <f t="shared" si="4"/>
        <v xml:space="preserve"> Philadelphia</v>
      </c>
    </row>
    <row r="275" spans="1:12" hidden="1" x14ac:dyDescent="0.2">
      <c r="A275">
        <v>42101013500</v>
      </c>
      <c r="B275" t="s">
        <v>172</v>
      </c>
      <c r="C275">
        <v>0.82520000000000004</v>
      </c>
      <c r="D275" t="e">
        <f>VLOOKUP(A275,Philly_income!$A$2:$C$324,3,FALSE)</f>
        <v>#N/A</v>
      </c>
      <c r="L275" t="str">
        <f t="shared" si="4"/>
        <v xml:space="preserve"> Philadelphia</v>
      </c>
    </row>
    <row r="276" spans="1:12" x14ac:dyDescent="0.2">
      <c r="A276">
        <v>42101027000</v>
      </c>
      <c r="B276" t="s">
        <v>166</v>
      </c>
      <c r="C276" s="7">
        <v>0.7631</v>
      </c>
      <c r="D276">
        <f>VLOOKUP(A276,Philly_income!$A$2:$C$324,3,FALSE)</f>
        <v>32479</v>
      </c>
      <c r="L276" t="str">
        <f t="shared" si="4"/>
        <v xml:space="preserve"> Philadelphia</v>
      </c>
    </row>
    <row r="277" spans="1:12" x14ac:dyDescent="0.2">
      <c r="A277">
        <v>42101018300</v>
      </c>
      <c r="B277" t="s">
        <v>280</v>
      </c>
      <c r="C277" s="7">
        <v>0.89810000000000001</v>
      </c>
      <c r="D277">
        <f>VLOOKUP(A277,Philly_income!$A$2:$C$324,3,FALSE)</f>
        <v>32480</v>
      </c>
      <c r="L277" t="str">
        <f t="shared" si="4"/>
        <v xml:space="preserve"> Philadelphia</v>
      </c>
    </row>
    <row r="278" spans="1:12" x14ac:dyDescent="0.2">
      <c r="A278">
        <v>42101033400</v>
      </c>
      <c r="B278" t="s">
        <v>155</v>
      </c>
      <c r="C278" s="7">
        <v>0.78600000000000003</v>
      </c>
      <c r="D278">
        <f>VLOOKUP(A278,Philly_income!$A$2:$C$324,3,FALSE)</f>
        <v>32547</v>
      </c>
      <c r="L278" t="str">
        <f t="shared" si="4"/>
        <v xml:space="preserve"> Philadelphia</v>
      </c>
    </row>
    <row r="279" spans="1:12" hidden="1" x14ac:dyDescent="0.2">
      <c r="A279">
        <v>42091203902</v>
      </c>
      <c r="B279" t="s">
        <v>221</v>
      </c>
      <c r="C279">
        <v>0.82469999999999999</v>
      </c>
      <c r="L279" t="e">
        <f t="shared" si="4"/>
        <v>#VALUE!</v>
      </c>
    </row>
    <row r="280" spans="1:12" x14ac:dyDescent="0.2">
      <c r="A280">
        <v>42101034502</v>
      </c>
      <c r="B280" t="s">
        <v>277</v>
      </c>
      <c r="C280" s="7">
        <v>0.79210000000000003</v>
      </c>
      <c r="D280">
        <f>VLOOKUP(A280,Philly_income!$A$2:$C$324,3,FALSE)</f>
        <v>32549</v>
      </c>
      <c r="L280" t="str">
        <f t="shared" si="4"/>
        <v xml:space="preserve"> Philadelphia</v>
      </c>
    </row>
    <row r="281" spans="1:12" x14ac:dyDescent="0.2">
      <c r="A281">
        <v>42101001101</v>
      </c>
      <c r="B281" t="s">
        <v>235</v>
      </c>
      <c r="C281" s="7">
        <v>0.45760000000000001</v>
      </c>
      <c r="D281">
        <f>VLOOKUP(A281,Philly_income!$A$2:$C$324,3,FALSE)</f>
        <v>32569</v>
      </c>
      <c r="L281" t="str">
        <f t="shared" si="4"/>
        <v xml:space="preserve"> Philadelphia</v>
      </c>
    </row>
    <row r="282" spans="1:12" hidden="1" x14ac:dyDescent="0.2">
      <c r="A282">
        <v>34007602902</v>
      </c>
      <c r="B282" t="s">
        <v>228</v>
      </c>
      <c r="C282">
        <v>0.82450000000000001</v>
      </c>
      <c r="L282" t="e">
        <f t="shared" si="4"/>
        <v>#VALUE!</v>
      </c>
    </row>
    <row r="283" spans="1:12" x14ac:dyDescent="0.2">
      <c r="A283">
        <v>42101021300</v>
      </c>
      <c r="B283" t="s">
        <v>255</v>
      </c>
      <c r="C283" s="7">
        <v>0.85550000000000004</v>
      </c>
      <c r="D283">
        <f>VLOOKUP(A283,Philly_income!$A$2:$C$324,3,FALSE)</f>
        <v>32629</v>
      </c>
      <c r="L283" t="str">
        <f t="shared" si="4"/>
        <v xml:space="preserve"> Philadelphia</v>
      </c>
    </row>
    <row r="284" spans="1:12" hidden="1" x14ac:dyDescent="0.2">
      <c r="A284">
        <v>34015501001</v>
      </c>
      <c r="B284" t="s">
        <v>270</v>
      </c>
      <c r="C284">
        <v>0.82350000000000001</v>
      </c>
      <c r="L284" t="e">
        <f t="shared" si="4"/>
        <v>#VALUE!</v>
      </c>
    </row>
    <row r="285" spans="1:12" x14ac:dyDescent="0.2">
      <c r="A285">
        <v>42101025600</v>
      </c>
      <c r="B285" t="s">
        <v>217</v>
      </c>
      <c r="C285" s="7">
        <v>0.70430000000000004</v>
      </c>
      <c r="D285">
        <f>VLOOKUP(A285,Philly_income!$A$2:$C$324,3,FALSE)</f>
        <v>32756</v>
      </c>
      <c r="L285" t="str">
        <f t="shared" si="4"/>
        <v xml:space="preserve"> Philadelphia</v>
      </c>
    </row>
    <row r="286" spans="1:12" hidden="1" x14ac:dyDescent="0.2">
      <c r="A286">
        <v>42017100103</v>
      </c>
      <c r="B286" t="s">
        <v>258</v>
      </c>
      <c r="C286">
        <v>0.82320000000000004</v>
      </c>
      <c r="L286" t="e">
        <f t="shared" si="4"/>
        <v>#VALUE!</v>
      </c>
    </row>
    <row r="287" spans="1:12" hidden="1" x14ac:dyDescent="0.2">
      <c r="A287">
        <v>34015501101</v>
      </c>
      <c r="B287" t="s">
        <v>252</v>
      </c>
      <c r="C287">
        <v>0.82310000000000005</v>
      </c>
      <c r="L287" t="e">
        <f t="shared" si="4"/>
        <v>#VALUE!</v>
      </c>
    </row>
    <row r="288" spans="1:12" hidden="1" x14ac:dyDescent="0.2">
      <c r="A288">
        <v>42101028600</v>
      </c>
      <c r="B288" t="s">
        <v>166</v>
      </c>
      <c r="C288">
        <v>0.82289999999999996</v>
      </c>
      <c r="D288" t="e">
        <f>VLOOKUP(A288,Philly_income!$A$2:$C$324,3,FALSE)</f>
        <v>#N/A</v>
      </c>
      <c r="L288" t="str">
        <f t="shared" si="4"/>
        <v xml:space="preserve"> Philadelphia</v>
      </c>
    </row>
    <row r="289" spans="1:12" x14ac:dyDescent="0.2">
      <c r="A289">
        <v>42101012500</v>
      </c>
      <c r="B289" t="s">
        <v>166</v>
      </c>
      <c r="C289" s="7">
        <v>0.48070000000000002</v>
      </c>
      <c r="D289">
        <f>VLOOKUP(A289,Philly_income!$A$2:$C$324,3,FALSE)</f>
        <v>32945</v>
      </c>
      <c r="L289" t="str">
        <f t="shared" si="4"/>
        <v xml:space="preserve"> Philadelphia</v>
      </c>
    </row>
    <row r="290" spans="1:12" hidden="1" x14ac:dyDescent="0.2">
      <c r="A290">
        <v>42045400302</v>
      </c>
      <c r="B290" t="s">
        <v>229</v>
      </c>
      <c r="C290">
        <v>0.82199999999999995</v>
      </c>
      <c r="L290" t="e">
        <f t="shared" si="4"/>
        <v>#VALUE!</v>
      </c>
    </row>
    <row r="291" spans="1:12" hidden="1" x14ac:dyDescent="0.2">
      <c r="A291">
        <v>34005700900</v>
      </c>
      <c r="B291" t="s">
        <v>241</v>
      </c>
      <c r="C291">
        <v>0.82169999999999999</v>
      </c>
      <c r="L291" t="e">
        <f t="shared" si="4"/>
        <v>#VALUE!</v>
      </c>
    </row>
    <row r="292" spans="1:12" hidden="1" x14ac:dyDescent="0.2">
      <c r="A292">
        <v>42101017400</v>
      </c>
      <c r="B292" t="s">
        <v>166</v>
      </c>
      <c r="C292">
        <v>0.82140000000000002</v>
      </c>
      <c r="D292" t="e">
        <f>VLOOKUP(A292,Philly_income!$A$2:$C$324,3,FALSE)</f>
        <v>#N/A</v>
      </c>
      <c r="L292" t="str">
        <f t="shared" si="4"/>
        <v xml:space="preserve"> Philadelphia</v>
      </c>
    </row>
    <row r="293" spans="1:12" hidden="1" x14ac:dyDescent="0.2">
      <c r="A293">
        <v>42101028902</v>
      </c>
      <c r="B293" t="s">
        <v>220</v>
      </c>
      <c r="C293">
        <v>0.82050000000000001</v>
      </c>
      <c r="D293" t="e">
        <f>VLOOKUP(A293,Philly_income!$A$2:$C$324,3,FALSE)</f>
        <v>#N/A</v>
      </c>
      <c r="L293" t="str">
        <f t="shared" si="4"/>
        <v xml:space="preserve"> Philadelphia</v>
      </c>
    </row>
    <row r="294" spans="1:12" hidden="1" x14ac:dyDescent="0.2">
      <c r="A294">
        <v>42045400600</v>
      </c>
      <c r="B294" t="s">
        <v>237</v>
      </c>
      <c r="C294">
        <v>0.82040000000000002</v>
      </c>
      <c r="L294" t="e">
        <f t="shared" si="4"/>
        <v>#VALUE!</v>
      </c>
    </row>
    <row r="295" spans="1:12" hidden="1" x14ac:dyDescent="0.2">
      <c r="A295">
        <v>42101017601</v>
      </c>
      <c r="B295" t="s">
        <v>169</v>
      </c>
      <c r="C295">
        <v>0.81940000000000002</v>
      </c>
      <c r="D295" t="e">
        <f>VLOOKUP(A295,Philly_income!$A$2:$C$324,3,FALSE)</f>
        <v>#N/A</v>
      </c>
      <c r="L295" t="str">
        <f t="shared" si="4"/>
        <v xml:space="preserve"> Philadelphia</v>
      </c>
    </row>
    <row r="296" spans="1:12" hidden="1" x14ac:dyDescent="0.2">
      <c r="A296">
        <v>34007602602</v>
      </c>
      <c r="B296" t="s">
        <v>228</v>
      </c>
      <c r="C296">
        <v>0.81899999999999995</v>
      </c>
      <c r="L296" t="e">
        <f t="shared" si="4"/>
        <v>#VALUE!</v>
      </c>
    </row>
    <row r="297" spans="1:12" hidden="1" x14ac:dyDescent="0.2">
      <c r="A297">
        <v>42101009500</v>
      </c>
      <c r="B297" t="s">
        <v>181</v>
      </c>
      <c r="C297">
        <v>0.81889999999999996</v>
      </c>
      <c r="D297" t="e">
        <f>VLOOKUP(A297,Philly_income!$A$2:$C$324,3,FALSE)</f>
        <v>#N/A</v>
      </c>
      <c r="L297" t="str">
        <f t="shared" si="4"/>
        <v xml:space="preserve"> Philadelphia</v>
      </c>
    </row>
    <row r="298" spans="1:12" hidden="1" x14ac:dyDescent="0.2">
      <c r="A298">
        <v>42101024400</v>
      </c>
      <c r="B298" t="s">
        <v>200</v>
      </c>
      <c r="C298">
        <v>0.81879999999999997</v>
      </c>
      <c r="D298" t="e">
        <f>VLOOKUP(A298,Philly_income!$A$2:$C$324,3,FALSE)</f>
        <v>#N/A</v>
      </c>
      <c r="L298" t="str">
        <f t="shared" si="4"/>
        <v xml:space="preserve"> Philadelphia</v>
      </c>
    </row>
    <row r="299" spans="1:12" hidden="1" x14ac:dyDescent="0.2">
      <c r="A299">
        <v>42045403602</v>
      </c>
      <c r="B299" t="s">
        <v>301</v>
      </c>
      <c r="C299">
        <v>0.81830000000000003</v>
      </c>
      <c r="L299" t="e">
        <f t="shared" si="4"/>
        <v>#VALUE!</v>
      </c>
    </row>
    <row r="300" spans="1:12" hidden="1" x14ac:dyDescent="0.2">
      <c r="A300">
        <v>34007604100</v>
      </c>
      <c r="B300" t="s">
        <v>222</v>
      </c>
      <c r="C300">
        <v>0.81799999999999995</v>
      </c>
      <c r="L300" t="e">
        <f t="shared" si="4"/>
        <v>#VALUE!</v>
      </c>
    </row>
    <row r="301" spans="1:12" hidden="1" x14ac:dyDescent="0.2">
      <c r="A301">
        <v>34005700701</v>
      </c>
      <c r="B301" t="s">
        <v>269</v>
      </c>
      <c r="C301">
        <v>0.81759999999999999</v>
      </c>
      <c r="L301" t="e">
        <f t="shared" si="4"/>
        <v>#VALUE!</v>
      </c>
    </row>
    <row r="302" spans="1:12" hidden="1" x14ac:dyDescent="0.2">
      <c r="A302">
        <v>34005700403</v>
      </c>
      <c r="B302" t="s">
        <v>240</v>
      </c>
      <c r="C302">
        <v>0.81759999999999999</v>
      </c>
      <c r="L302" t="e">
        <f t="shared" si="4"/>
        <v>#VALUE!</v>
      </c>
    </row>
    <row r="303" spans="1:12" hidden="1" x14ac:dyDescent="0.2">
      <c r="A303">
        <v>42045403200</v>
      </c>
      <c r="B303" t="s">
        <v>319</v>
      </c>
      <c r="C303">
        <v>0.8175</v>
      </c>
      <c r="L303" t="e">
        <f t="shared" si="4"/>
        <v>#VALUE!</v>
      </c>
    </row>
    <row r="304" spans="1:12" hidden="1" x14ac:dyDescent="0.2">
      <c r="A304">
        <v>42091204008</v>
      </c>
      <c r="B304" t="s">
        <v>257</v>
      </c>
      <c r="C304">
        <v>0.81740000000000002</v>
      </c>
      <c r="L304" t="e">
        <f t="shared" si="4"/>
        <v>#VALUE!</v>
      </c>
    </row>
    <row r="305" spans="1:12" hidden="1" x14ac:dyDescent="0.2">
      <c r="A305">
        <v>42101036501</v>
      </c>
      <c r="B305" t="s">
        <v>155</v>
      </c>
      <c r="C305">
        <v>0.81730000000000003</v>
      </c>
      <c r="D305" t="e">
        <f>VLOOKUP(A305,Philly_income!$A$2:$C$324,3,FALSE)</f>
        <v>#N/A</v>
      </c>
      <c r="L305" t="str">
        <f t="shared" si="4"/>
        <v xml:space="preserve"> Philadelphia</v>
      </c>
    </row>
    <row r="306" spans="1:12" hidden="1" x14ac:dyDescent="0.2">
      <c r="A306">
        <v>34005700304</v>
      </c>
      <c r="B306" t="s">
        <v>292</v>
      </c>
      <c r="C306">
        <v>0.81710000000000005</v>
      </c>
      <c r="L306" t="e">
        <f t="shared" si="4"/>
        <v>#VALUE!</v>
      </c>
    </row>
    <row r="307" spans="1:12" x14ac:dyDescent="0.2">
      <c r="A307">
        <v>42101025700</v>
      </c>
      <c r="B307" t="s">
        <v>283</v>
      </c>
      <c r="C307" s="7">
        <v>0.61</v>
      </c>
      <c r="D307">
        <f>VLOOKUP(A307,Philly_income!$A$2:$C$324,3,FALSE)</f>
        <v>32958</v>
      </c>
      <c r="L307" t="str">
        <f t="shared" si="4"/>
        <v xml:space="preserve"> Philadelphia</v>
      </c>
    </row>
    <row r="308" spans="1:12" x14ac:dyDescent="0.2">
      <c r="A308">
        <v>42101018002</v>
      </c>
      <c r="B308" t="s">
        <v>166</v>
      </c>
      <c r="C308" s="7">
        <v>0.85680000000000001</v>
      </c>
      <c r="D308">
        <f>VLOOKUP(A308,Philly_income!$A$2:$C$324,3,FALSE)</f>
        <v>32984</v>
      </c>
      <c r="L308" t="str">
        <f t="shared" si="4"/>
        <v xml:space="preserve"> Philadelphia</v>
      </c>
    </row>
    <row r="309" spans="1:12" hidden="1" x14ac:dyDescent="0.2">
      <c r="A309">
        <v>34007608302</v>
      </c>
      <c r="B309" t="s">
        <v>284</v>
      </c>
      <c r="C309">
        <v>0.81630000000000003</v>
      </c>
      <c r="L309" t="e">
        <f t="shared" si="4"/>
        <v>#VALUE!</v>
      </c>
    </row>
    <row r="310" spans="1:12" hidden="1" x14ac:dyDescent="0.2">
      <c r="A310">
        <v>42101024300</v>
      </c>
      <c r="B310" t="s">
        <v>200</v>
      </c>
      <c r="C310">
        <v>0.81599999999999995</v>
      </c>
      <c r="D310" t="e">
        <f>VLOOKUP(A310,Philly_income!$A$2:$C$324,3,FALSE)</f>
        <v>#N/A</v>
      </c>
      <c r="L310" t="str">
        <f t="shared" si="4"/>
        <v xml:space="preserve"> Philadelphia</v>
      </c>
    </row>
    <row r="311" spans="1:12" hidden="1" x14ac:dyDescent="0.2">
      <c r="A311">
        <v>42101036502</v>
      </c>
      <c r="B311" t="s">
        <v>155</v>
      </c>
      <c r="C311">
        <v>0.81589999999999996</v>
      </c>
      <c r="D311" t="e">
        <f>VLOOKUP(A311,Philly_income!$A$2:$C$324,3,FALSE)</f>
        <v>#N/A</v>
      </c>
      <c r="L311" t="str">
        <f t="shared" si="4"/>
        <v xml:space="preserve"> Philadelphia</v>
      </c>
    </row>
    <row r="312" spans="1:12" hidden="1" x14ac:dyDescent="0.2">
      <c r="A312">
        <v>42101008000</v>
      </c>
      <c r="B312" t="s">
        <v>160</v>
      </c>
      <c r="C312">
        <v>0.81579999999999997</v>
      </c>
      <c r="D312" t="e">
        <f>VLOOKUP(A312,Philly_income!$A$2:$C$324,3,FALSE)</f>
        <v>#N/A</v>
      </c>
      <c r="L312" t="str">
        <f t="shared" si="4"/>
        <v xml:space="preserve"> Philadelphia</v>
      </c>
    </row>
    <row r="313" spans="1:12" x14ac:dyDescent="0.2">
      <c r="A313">
        <v>42101030600</v>
      </c>
      <c r="B313" t="s">
        <v>238</v>
      </c>
      <c r="C313" s="7">
        <v>0.8679</v>
      </c>
      <c r="D313">
        <f>VLOOKUP(A313,Philly_income!$A$2:$C$324,3,FALSE)</f>
        <v>32996</v>
      </c>
      <c r="L313" t="str">
        <f t="shared" si="4"/>
        <v xml:space="preserve"> Philadelphia</v>
      </c>
    </row>
    <row r="314" spans="1:12" hidden="1" x14ac:dyDescent="0.2">
      <c r="A314">
        <v>42101014200</v>
      </c>
      <c r="B314" t="s">
        <v>166</v>
      </c>
      <c r="C314">
        <v>0.81540000000000001</v>
      </c>
      <c r="D314" t="e">
        <f>VLOOKUP(A314,Philly_income!$A$2:$C$324,3,FALSE)</f>
        <v>#N/A</v>
      </c>
      <c r="L314" t="str">
        <f t="shared" si="4"/>
        <v xml:space="preserve"> Philadelphia</v>
      </c>
    </row>
    <row r="315" spans="1:12" hidden="1" x14ac:dyDescent="0.2">
      <c r="A315">
        <v>42091204102</v>
      </c>
      <c r="B315" t="s">
        <v>257</v>
      </c>
      <c r="C315">
        <v>0.81540000000000001</v>
      </c>
      <c r="L315" t="e">
        <f t="shared" si="4"/>
        <v>#VALUE!</v>
      </c>
    </row>
    <row r="316" spans="1:12" hidden="1" x14ac:dyDescent="0.2">
      <c r="A316">
        <v>42045402800</v>
      </c>
      <c r="B316" t="s">
        <v>219</v>
      </c>
      <c r="C316">
        <v>0.81489999999999996</v>
      </c>
      <c r="L316" t="e">
        <f t="shared" si="4"/>
        <v>#VALUE!</v>
      </c>
    </row>
    <row r="317" spans="1:12" hidden="1" x14ac:dyDescent="0.2">
      <c r="A317">
        <v>34007607100</v>
      </c>
      <c r="B317" t="s">
        <v>299</v>
      </c>
      <c r="C317">
        <v>0.81459999999999999</v>
      </c>
      <c r="L317" t="e">
        <f t="shared" si="4"/>
        <v>#VALUE!</v>
      </c>
    </row>
    <row r="318" spans="1:12" hidden="1" x14ac:dyDescent="0.2">
      <c r="A318">
        <v>34007608206</v>
      </c>
      <c r="B318" t="s">
        <v>284</v>
      </c>
      <c r="C318">
        <v>0.81459999999999999</v>
      </c>
      <c r="L318" t="e">
        <f t="shared" si="4"/>
        <v>#VALUE!</v>
      </c>
    </row>
    <row r="319" spans="1:12" hidden="1" x14ac:dyDescent="0.2">
      <c r="A319">
        <v>34007603002</v>
      </c>
      <c r="B319" t="s">
        <v>228</v>
      </c>
      <c r="C319">
        <v>0.81420000000000003</v>
      </c>
      <c r="L319" t="e">
        <f t="shared" si="4"/>
        <v>#VALUE!</v>
      </c>
    </row>
    <row r="320" spans="1:12" hidden="1" x14ac:dyDescent="0.2">
      <c r="A320">
        <v>34007600700</v>
      </c>
      <c r="B320" t="s">
        <v>168</v>
      </c>
      <c r="C320">
        <v>0.81389999999999996</v>
      </c>
      <c r="L320" t="str">
        <f t="shared" si="4"/>
        <v xml:space="preserve"> Camden</v>
      </c>
    </row>
    <row r="321" spans="1:12" hidden="1" x14ac:dyDescent="0.2">
      <c r="A321">
        <v>42101025200</v>
      </c>
      <c r="B321" t="s">
        <v>189</v>
      </c>
      <c r="C321">
        <v>0.81379999999999997</v>
      </c>
      <c r="D321" t="e">
        <f>VLOOKUP(A321,Philly_income!$A$2:$C$324,3,FALSE)</f>
        <v>#N/A</v>
      </c>
      <c r="L321" t="str">
        <f t="shared" si="4"/>
        <v xml:space="preserve"> Philadelphia</v>
      </c>
    </row>
    <row r="322" spans="1:12" hidden="1" x14ac:dyDescent="0.2">
      <c r="A322">
        <v>42017100102</v>
      </c>
      <c r="B322" t="s">
        <v>258</v>
      </c>
      <c r="C322">
        <v>0.8135</v>
      </c>
      <c r="L322" t="e">
        <f t="shared" si="4"/>
        <v>#VALUE!</v>
      </c>
    </row>
    <row r="323" spans="1:12" hidden="1" x14ac:dyDescent="0.2">
      <c r="A323">
        <v>42091201704</v>
      </c>
      <c r="B323" t="s">
        <v>302</v>
      </c>
      <c r="C323">
        <v>0.81340000000000001</v>
      </c>
      <c r="L323" t="e">
        <f t="shared" ref="L323:L386" si="5">MID($B323, FIND(",",$B323)+1, FIND(",",$B323,FIND(",",$B323)+1) -1 -FIND(",",$B323))</f>
        <v>#VALUE!</v>
      </c>
    </row>
    <row r="324" spans="1:12" hidden="1" x14ac:dyDescent="0.2">
      <c r="A324">
        <v>42101028700</v>
      </c>
      <c r="B324" t="s">
        <v>161</v>
      </c>
      <c r="C324">
        <v>0.81340000000000001</v>
      </c>
      <c r="D324" t="e">
        <f>VLOOKUP(A324,Philly_income!$A$2:$C$324,3,FALSE)</f>
        <v>#N/A</v>
      </c>
      <c r="L324" t="str">
        <f t="shared" si="5"/>
        <v xml:space="preserve"> Philadelphia</v>
      </c>
    </row>
    <row r="325" spans="1:12" hidden="1" x14ac:dyDescent="0.2">
      <c r="A325">
        <v>42017100105</v>
      </c>
      <c r="B325" t="s">
        <v>258</v>
      </c>
      <c r="C325">
        <v>0.81330000000000002</v>
      </c>
      <c r="L325" t="e">
        <f t="shared" si="5"/>
        <v>#VALUE!</v>
      </c>
    </row>
    <row r="326" spans="1:12" hidden="1" x14ac:dyDescent="0.2">
      <c r="A326">
        <v>42101038300</v>
      </c>
      <c r="B326" t="s">
        <v>161</v>
      </c>
      <c r="C326">
        <v>0.81310000000000004</v>
      </c>
      <c r="D326" t="e">
        <f>VLOOKUP(A326,Philly_income!$A$2:$C$324,3,FALSE)</f>
        <v>#N/A</v>
      </c>
      <c r="L326" t="str">
        <f t="shared" si="5"/>
        <v xml:space="preserve"> Philadelphia</v>
      </c>
    </row>
    <row r="327" spans="1:12" hidden="1" x14ac:dyDescent="0.2">
      <c r="A327">
        <v>42045403902</v>
      </c>
      <c r="B327" t="s">
        <v>288</v>
      </c>
      <c r="C327">
        <v>0.81269999999999998</v>
      </c>
      <c r="L327" t="e">
        <f t="shared" si="5"/>
        <v>#VALUE!</v>
      </c>
    </row>
    <row r="328" spans="1:12" hidden="1" x14ac:dyDescent="0.2">
      <c r="A328">
        <v>42101011300</v>
      </c>
      <c r="B328" t="s">
        <v>214</v>
      </c>
      <c r="C328">
        <v>0.81259999999999999</v>
      </c>
      <c r="D328" t="e">
        <f>VLOOKUP(A328,Philly_income!$A$2:$C$324,3,FALSE)</f>
        <v>#N/A</v>
      </c>
      <c r="L328" t="str">
        <f t="shared" si="5"/>
        <v xml:space="preserve"> Philadelphia</v>
      </c>
    </row>
    <row r="329" spans="1:12" hidden="1" x14ac:dyDescent="0.2">
      <c r="A329">
        <v>34007601102</v>
      </c>
      <c r="B329" t="s">
        <v>204</v>
      </c>
      <c r="C329">
        <v>0.81230000000000002</v>
      </c>
      <c r="L329" t="str">
        <f t="shared" si="5"/>
        <v xml:space="preserve"> Camden</v>
      </c>
    </row>
    <row r="330" spans="1:12" hidden="1" x14ac:dyDescent="0.2">
      <c r="A330">
        <v>42091203602</v>
      </c>
      <c r="B330" t="s">
        <v>221</v>
      </c>
      <c r="C330">
        <v>0.81220000000000003</v>
      </c>
      <c r="L330" t="e">
        <f t="shared" si="5"/>
        <v>#VALUE!</v>
      </c>
    </row>
    <row r="331" spans="1:12" hidden="1" x14ac:dyDescent="0.2">
      <c r="A331">
        <v>34007610900</v>
      </c>
      <c r="B331" t="s">
        <v>285</v>
      </c>
      <c r="C331">
        <v>0.81210000000000004</v>
      </c>
      <c r="L331" t="e">
        <f t="shared" si="5"/>
        <v>#VALUE!</v>
      </c>
    </row>
    <row r="332" spans="1:12" hidden="1" x14ac:dyDescent="0.2">
      <c r="A332">
        <v>42101005600</v>
      </c>
      <c r="B332" t="s">
        <v>159</v>
      </c>
      <c r="C332">
        <v>0.81169999999999998</v>
      </c>
      <c r="D332" t="e">
        <f>VLOOKUP(A332,Philly_income!$A$2:$C$324,3,FALSE)</f>
        <v>#N/A</v>
      </c>
      <c r="L332" t="str">
        <f t="shared" si="5"/>
        <v xml:space="preserve"> Philadelphia</v>
      </c>
    </row>
    <row r="333" spans="1:12" hidden="1" x14ac:dyDescent="0.2">
      <c r="A333">
        <v>42091203500</v>
      </c>
      <c r="B333" t="s">
        <v>221</v>
      </c>
      <c r="C333">
        <v>0.8115</v>
      </c>
      <c r="L333" t="e">
        <f t="shared" si="5"/>
        <v>#VALUE!</v>
      </c>
    </row>
    <row r="334" spans="1:12" hidden="1" x14ac:dyDescent="0.2">
      <c r="A334">
        <v>34015501102</v>
      </c>
      <c r="B334" t="s">
        <v>270</v>
      </c>
      <c r="C334">
        <v>0.81140000000000001</v>
      </c>
      <c r="L334" t="e">
        <f t="shared" si="5"/>
        <v>#VALUE!</v>
      </c>
    </row>
    <row r="335" spans="1:12" hidden="1" x14ac:dyDescent="0.2">
      <c r="A335">
        <v>42017100208</v>
      </c>
      <c r="B335" t="s">
        <v>258</v>
      </c>
      <c r="C335">
        <v>0.81120000000000003</v>
      </c>
      <c r="L335" t="e">
        <f t="shared" si="5"/>
        <v>#VALUE!</v>
      </c>
    </row>
    <row r="336" spans="1:12" hidden="1" x14ac:dyDescent="0.2">
      <c r="A336">
        <v>42101026800</v>
      </c>
      <c r="B336" t="s">
        <v>166</v>
      </c>
      <c r="C336">
        <v>0.81100000000000005</v>
      </c>
      <c r="D336" t="e">
        <f>VLOOKUP(A336,Philly_income!$A$2:$C$324,3,FALSE)</f>
        <v>#N/A</v>
      </c>
      <c r="L336" t="str">
        <f t="shared" si="5"/>
        <v xml:space="preserve"> Philadelphia</v>
      </c>
    </row>
    <row r="337" spans="1:12" hidden="1" x14ac:dyDescent="0.2">
      <c r="A337">
        <v>34005700702</v>
      </c>
      <c r="B337" t="s">
        <v>269</v>
      </c>
      <c r="C337">
        <v>0.81040000000000001</v>
      </c>
      <c r="L337" t="e">
        <f t="shared" si="5"/>
        <v>#VALUE!</v>
      </c>
    </row>
    <row r="338" spans="1:12" x14ac:dyDescent="0.2">
      <c r="A338">
        <v>42101034802</v>
      </c>
      <c r="B338" t="s">
        <v>155</v>
      </c>
      <c r="C338" s="7">
        <v>0.86580000000000001</v>
      </c>
      <c r="D338">
        <f>VLOOKUP(A338,Philly_income!$A$2:$C$324,3,FALSE)</f>
        <v>33096</v>
      </c>
      <c r="L338" t="str">
        <f t="shared" si="5"/>
        <v xml:space="preserve"> Philadelphia</v>
      </c>
    </row>
    <row r="339" spans="1:12" hidden="1" x14ac:dyDescent="0.2">
      <c r="A339">
        <v>42045400700</v>
      </c>
      <c r="B339" t="s">
        <v>237</v>
      </c>
      <c r="C339">
        <v>0.80969999999999998</v>
      </c>
      <c r="L339" t="e">
        <f t="shared" si="5"/>
        <v>#VALUE!</v>
      </c>
    </row>
    <row r="340" spans="1:12" x14ac:dyDescent="0.2">
      <c r="A340">
        <v>42101033800</v>
      </c>
      <c r="B340" t="s">
        <v>297</v>
      </c>
      <c r="C340" s="7">
        <v>0.80769999999999997</v>
      </c>
      <c r="D340">
        <f>VLOOKUP(A340,Philly_income!$A$2:$C$324,3,FALSE)</f>
        <v>33206</v>
      </c>
      <c r="L340" t="str">
        <f t="shared" si="5"/>
        <v xml:space="preserve"> Philadelphia</v>
      </c>
    </row>
    <row r="341" spans="1:12" hidden="1" x14ac:dyDescent="0.2">
      <c r="A341">
        <v>42045401501</v>
      </c>
      <c r="B341" t="s">
        <v>263</v>
      </c>
      <c r="C341">
        <v>0.80889999999999995</v>
      </c>
      <c r="L341" t="e">
        <f t="shared" si="5"/>
        <v>#VALUE!</v>
      </c>
    </row>
    <row r="342" spans="1:12" x14ac:dyDescent="0.2">
      <c r="A342">
        <v>42101032000</v>
      </c>
      <c r="B342" t="s">
        <v>155</v>
      </c>
      <c r="C342" s="7">
        <v>0.8679</v>
      </c>
      <c r="D342">
        <f>VLOOKUP(A342,Philly_income!$A$2:$C$324,3,FALSE)</f>
        <v>33295</v>
      </c>
      <c r="L342" t="str">
        <f t="shared" si="5"/>
        <v xml:space="preserve"> Philadelphia</v>
      </c>
    </row>
    <row r="343" spans="1:12" hidden="1" x14ac:dyDescent="0.2">
      <c r="A343">
        <v>34007607300</v>
      </c>
      <c r="B343" t="s">
        <v>261</v>
      </c>
      <c r="C343">
        <v>0.80840000000000001</v>
      </c>
      <c r="L343" t="e">
        <f t="shared" si="5"/>
        <v>#VALUE!</v>
      </c>
    </row>
    <row r="344" spans="1:12" hidden="1" x14ac:dyDescent="0.2">
      <c r="A344">
        <v>42101026302</v>
      </c>
      <c r="B344" t="s">
        <v>166</v>
      </c>
      <c r="C344">
        <v>0.80840000000000001</v>
      </c>
      <c r="D344" t="e">
        <f>VLOOKUP(A344,Philly_income!$A$2:$C$324,3,FALSE)</f>
        <v>#N/A</v>
      </c>
      <c r="L344" t="str">
        <f t="shared" si="5"/>
        <v xml:space="preserve"> Philadelphia</v>
      </c>
    </row>
    <row r="345" spans="1:12" hidden="1" x14ac:dyDescent="0.2">
      <c r="A345">
        <v>42045402900</v>
      </c>
      <c r="B345" t="s">
        <v>219</v>
      </c>
      <c r="C345">
        <v>0.80789999999999995</v>
      </c>
      <c r="L345" t="e">
        <f t="shared" si="5"/>
        <v>#VALUE!</v>
      </c>
    </row>
    <row r="346" spans="1:12" hidden="1" x14ac:dyDescent="0.2">
      <c r="A346">
        <v>42091201605</v>
      </c>
      <c r="B346" t="s">
        <v>262</v>
      </c>
      <c r="C346">
        <v>0.80769999999999997</v>
      </c>
      <c r="L346" t="str">
        <f t="shared" si="5"/>
        <v xml:space="preserve"> Abington</v>
      </c>
    </row>
    <row r="347" spans="1:12" x14ac:dyDescent="0.2">
      <c r="A347">
        <v>42101020700</v>
      </c>
      <c r="B347" t="s">
        <v>266</v>
      </c>
      <c r="C347" s="7">
        <v>0.80379999999999996</v>
      </c>
      <c r="D347">
        <f>VLOOKUP(A347,Philly_income!$A$2:$C$324,3,FALSE)</f>
        <v>33324</v>
      </c>
      <c r="L347" t="str">
        <f t="shared" si="5"/>
        <v xml:space="preserve"> Philadelphia</v>
      </c>
    </row>
    <row r="348" spans="1:12" hidden="1" x14ac:dyDescent="0.2">
      <c r="A348">
        <v>42101028400</v>
      </c>
      <c r="B348" t="s">
        <v>166</v>
      </c>
      <c r="C348">
        <v>0.80759999999999998</v>
      </c>
      <c r="D348" t="e">
        <f>VLOOKUP(A348,Philly_income!$A$2:$C$324,3,FALSE)</f>
        <v>#N/A</v>
      </c>
      <c r="L348" t="str">
        <f t="shared" si="5"/>
        <v xml:space="preserve"> Philadelphia</v>
      </c>
    </row>
    <row r="349" spans="1:12" hidden="1" x14ac:dyDescent="0.2">
      <c r="A349">
        <v>42101008602</v>
      </c>
      <c r="B349" t="s">
        <v>191</v>
      </c>
      <c r="C349">
        <v>0.80759999999999998</v>
      </c>
      <c r="D349" t="e">
        <f>VLOOKUP(A349,Philly_income!$A$2:$C$324,3,FALSE)</f>
        <v>#N/A</v>
      </c>
      <c r="L349" t="str">
        <f t="shared" si="5"/>
        <v xml:space="preserve"> Philadelphia</v>
      </c>
    </row>
    <row r="350" spans="1:12" hidden="1" x14ac:dyDescent="0.2">
      <c r="A350">
        <v>42045401000</v>
      </c>
      <c r="B350" t="s">
        <v>265</v>
      </c>
      <c r="C350">
        <v>0.80759999999999998</v>
      </c>
      <c r="L350" t="str">
        <f t="shared" si="5"/>
        <v xml:space="preserve"> Upper Darby</v>
      </c>
    </row>
    <row r="351" spans="1:12" x14ac:dyDescent="0.2">
      <c r="A351">
        <v>42101037500</v>
      </c>
      <c r="B351" t="s">
        <v>214</v>
      </c>
      <c r="C351" s="7">
        <v>0.73270000000000002</v>
      </c>
      <c r="D351">
        <f>VLOOKUP(A351,Philly_income!$A$2:$C$324,3,FALSE)</f>
        <v>33331</v>
      </c>
      <c r="L351" t="str">
        <f t="shared" si="5"/>
        <v xml:space="preserve"> Philadelphia</v>
      </c>
    </row>
    <row r="352" spans="1:12" hidden="1" x14ac:dyDescent="0.2">
      <c r="A352">
        <v>42091210600</v>
      </c>
      <c r="B352" t="s">
        <v>318</v>
      </c>
      <c r="C352">
        <v>0.80720000000000003</v>
      </c>
      <c r="L352" t="e">
        <f t="shared" si="5"/>
        <v>#VALUE!</v>
      </c>
    </row>
    <row r="353" spans="1:12" x14ac:dyDescent="0.2">
      <c r="A353">
        <v>42101020800</v>
      </c>
      <c r="B353" t="s">
        <v>266</v>
      </c>
      <c r="C353" s="7">
        <v>0.73209999999999997</v>
      </c>
      <c r="D353">
        <f>VLOOKUP(A353,Philly_income!$A$2:$C$324,3,FALSE)</f>
        <v>33559</v>
      </c>
      <c r="L353" t="str">
        <f t="shared" si="5"/>
        <v xml:space="preserve"> Philadelphia</v>
      </c>
    </row>
    <row r="354" spans="1:12" hidden="1" x14ac:dyDescent="0.2">
      <c r="A354">
        <v>42045403601</v>
      </c>
      <c r="B354" t="s">
        <v>301</v>
      </c>
      <c r="C354">
        <v>0.80659999999999998</v>
      </c>
      <c r="L354" t="e">
        <f t="shared" si="5"/>
        <v>#VALUE!</v>
      </c>
    </row>
    <row r="355" spans="1:12" x14ac:dyDescent="0.2">
      <c r="A355">
        <v>42101021500</v>
      </c>
      <c r="B355" t="s">
        <v>255</v>
      </c>
      <c r="C355" s="7">
        <v>0.81689999999999996</v>
      </c>
      <c r="D355">
        <f>VLOOKUP(A355,Philly_income!$A$2:$C$324,3,FALSE)</f>
        <v>33605</v>
      </c>
      <c r="L355" t="str">
        <f t="shared" si="5"/>
        <v xml:space="preserve"> Philadelphia</v>
      </c>
    </row>
    <row r="356" spans="1:12" hidden="1" x14ac:dyDescent="0.2">
      <c r="A356">
        <v>42091204200</v>
      </c>
      <c r="B356" t="s">
        <v>257</v>
      </c>
      <c r="C356">
        <v>0.80659999999999998</v>
      </c>
      <c r="L356" t="e">
        <f t="shared" si="5"/>
        <v>#VALUE!</v>
      </c>
    </row>
    <row r="357" spans="1:12" hidden="1" x14ac:dyDescent="0.2">
      <c r="A357">
        <v>42101035500</v>
      </c>
      <c r="B357" t="s">
        <v>277</v>
      </c>
      <c r="C357">
        <v>0.80649999999999999</v>
      </c>
      <c r="D357" t="e">
        <f>VLOOKUP(A357,Philly_income!$A$2:$C$324,3,FALSE)</f>
        <v>#N/A</v>
      </c>
      <c r="L357" t="str">
        <f t="shared" si="5"/>
        <v xml:space="preserve"> Philadelphia</v>
      </c>
    </row>
    <row r="358" spans="1:12" hidden="1" x14ac:dyDescent="0.2">
      <c r="A358">
        <v>42045402700</v>
      </c>
      <c r="B358" t="s">
        <v>215</v>
      </c>
      <c r="C358">
        <v>0.80630000000000002</v>
      </c>
      <c r="L358" t="e">
        <f t="shared" si="5"/>
        <v>#VALUE!</v>
      </c>
    </row>
    <row r="359" spans="1:12" hidden="1" x14ac:dyDescent="0.2">
      <c r="A359">
        <v>42017100201</v>
      </c>
      <c r="B359" t="s">
        <v>287</v>
      </c>
      <c r="C359">
        <v>0.80620000000000003</v>
      </c>
      <c r="L359" t="str">
        <f t="shared" si="5"/>
        <v xml:space="preserve"> Feasterville-Trevose</v>
      </c>
    </row>
    <row r="360" spans="1:12" x14ac:dyDescent="0.2">
      <c r="A360">
        <v>42101021900</v>
      </c>
      <c r="B360" t="s">
        <v>317</v>
      </c>
      <c r="C360" s="7">
        <v>0.84440000000000004</v>
      </c>
      <c r="D360">
        <f>VLOOKUP(A360,Philly_income!$A$2:$C$324,3,FALSE)</f>
        <v>33674</v>
      </c>
      <c r="L360" t="str">
        <f t="shared" si="5"/>
        <v xml:space="preserve"> Philadelphia</v>
      </c>
    </row>
    <row r="361" spans="1:12" x14ac:dyDescent="0.2">
      <c r="A361">
        <v>42101037300</v>
      </c>
      <c r="B361" t="s">
        <v>286</v>
      </c>
      <c r="C361" s="7">
        <v>0.87109999999999999</v>
      </c>
      <c r="D361">
        <f>VLOOKUP(A361,Philly_income!$A$2:$C$324,3,FALSE)</f>
        <v>33784</v>
      </c>
      <c r="L361" t="str">
        <f t="shared" si="5"/>
        <v xml:space="preserve"> Philadelphia</v>
      </c>
    </row>
    <row r="362" spans="1:12" hidden="1" x14ac:dyDescent="0.2">
      <c r="A362">
        <v>42045403800</v>
      </c>
      <c r="B362" t="s">
        <v>291</v>
      </c>
      <c r="C362">
        <v>0.80559999999999998</v>
      </c>
      <c r="L362" t="e">
        <f t="shared" si="5"/>
        <v>#VALUE!</v>
      </c>
    </row>
    <row r="363" spans="1:12" hidden="1" x14ac:dyDescent="0.2">
      <c r="A363">
        <v>42101025900</v>
      </c>
      <c r="B363" t="s">
        <v>166</v>
      </c>
      <c r="C363">
        <v>0.80549999999999999</v>
      </c>
      <c r="D363" t="e">
        <f>VLOOKUP(A363,Philly_income!$A$2:$C$324,3,FALSE)</f>
        <v>#N/A</v>
      </c>
      <c r="L363" t="str">
        <f t="shared" si="5"/>
        <v xml:space="preserve"> Philadelphia</v>
      </c>
    </row>
    <row r="364" spans="1:12" x14ac:dyDescent="0.2">
      <c r="A364">
        <v>42101037900</v>
      </c>
      <c r="B364" t="s">
        <v>166</v>
      </c>
      <c r="C364" s="7">
        <v>0.88919999999999999</v>
      </c>
      <c r="D364">
        <f>VLOOKUP(A364,Philly_income!$A$2:$C$324,3,FALSE)</f>
        <v>33919</v>
      </c>
      <c r="L364" t="str">
        <f t="shared" si="5"/>
        <v xml:space="preserve"> Philadelphia</v>
      </c>
    </row>
    <row r="365" spans="1:12" hidden="1" x14ac:dyDescent="0.2">
      <c r="A365">
        <v>42101006500</v>
      </c>
      <c r="B365" t="s">
        <v>162</v>
      </c>
      <c r="C365">
        <v>0.8054</v>
      </c>
      <c r="L365" t="e">
        <f t="shared" si="5"/>
        <v>#VALUE!</v>
      </c>
    </row>
    <row r="366" spans="1:12" hidden="1" x14ac:dyDescent="0.2">
      <c r="A366">
        <v>34015500500</v>
      </c>
      <c r="B366" t="s">
        <v>307</v>
      </c>
      <c r="C366">
        <v>0.80520000000000003</v>
      </c>
      <c r="L366" t="str">
        <f t="shared" si="5"/>
        <v xml:space="preserve"> Greenwich Township</v>
      </c>
    </row>
    <row r="367" spans="1:12" hidden="1" x14ac:dyDescent="0.2">
      <c r="A367">
        <v>42045401200</v>
      </c>
      <c r="B367" t="s">
        <v>265</v>
      </c>
      <c r="C367">
        <v>0.80469999999999997</v>
      </c>
      <c r="L367" t="str">
        <f t="shared" si="5"/>
        <v xml:space="preserve"> Upper Darby</v>
      </c>
    </row>
    <row r="368" spans="1:12" x14ac:dyDescent="0.2">
      <c r="A368">
        <v>42101000700</v>
      </c>
      <c r="B368" t="s">
        <v>235</v>
      </c>
      <c r="C368" s="7">
        <v>0.6431</v>
      </c>
      <c r="D368">
        <f>VLOOKUP(A368,Philly_income!$A$2:$C$324,3,FALSE)</f>
        <v>33926</v>
      </c>
      <c r="L368" t="str">
        <f t="shared" si="5"/>
        <v xml:space="preserve"> Philadelphia</v>
      </c>
    </row>
    <row r="369" spans="1:12" hidden="1" x14ac:dyDescent="0.2">
      <c r="A369">
        <v>42017100212</v>
      </c>
      <c r="B369" t="s">
        <v>258</v>
      </c>
      <c r="C369">
        <v>0.80420000000000003</v>
      </c>
      <c r="L369" t="e">
        <f t="shared" si="5"/>
        <v>#VALUE!</v>
      </c>
    </row>
    <row r="370" spans="1:12" hidden="1" x14ac:dyDescent="0.2">
      <c r="A370">
        <v>42045410601</v>
      </c>
      <c r="B370" t="s">
        <v>309</v>
      </c>
      <c r="C370">
        <v>0.80420000000000003</v>
      </c>
      <c r="L370" t="e">
        <f t="shared" si="5"/>
        <v>#VALUE!</v>
      </c>
    </row>
    <row r="371" spans="1:12" hidden="1" x14ac:dyDescent="0.2">
      <c r="A371">
        <v>42017100104</v>
      </c>
      <c r="B371" t="s">
        <v>155</v>
      </c>
      <c r="C371">
        <v>0.80410000000000004</v>
      </c>
      <c r="D371" t="e">
        <f>VLOOKUP(A371,Philly_income!$A$2:$C$324,3,FALSE)</f>
        <v>#N/A</v>
      </c>
      <c r="L371" t="str">
        <f t="shared" si="5"/>
        <v xml:space="preserve"> Philadelphia</v>
      </c>
    </row>
    <row r="372" spans="1:12" x14ac:dyDescent="0.2">
      <c r="A372">
        <v>42101025800</v>
      </c>
      <c r="B372" t="s">
        <v>166</v>
      </c>
      <c r="C372" s="7">
        <v>0.74419999999999997</v>
      </c>
      <c r="D372">
        <f>VLOOKUP(A372,Philly_income!$A$2:$C$324,3,FALSE)</f>
        <v>33966</v>
      </c>
      <c r="L372" t="str">
        <f t="shared" si="5"/>
        <v xml:space="preserve"> Philadelphia</v>
      </c>
    </row>
    <row r="373" spans="1:12" hidden="1" x14ac:dyDescent="0.2">
      <c r="A373">
        <v>42101035900</v>
      </c>
      <c r="B373" t="s">
        <v>155</v>
      </c>
      <c r="C373">
        <v>0.80320000000000003</v>
      </c>
      <c r="D373" t="e">
        <f>VLOOKUP(A373,Philly_income!$A$2:$C$324,3,FALSE)</f>
        <v>#N/A</v>
      </c>
      <c r="L373" t="str">
        <f t="shared" si="5"/>
        <v xml:space="preserve"> Philadelphia</v>
      </c>
    </row>
    <row r="374" spans="1:12" hidden="1" x14ac:dyDescent="0.2">
      <c r="A374">
        <v>42045401104</v>
      </c>
      <c r="B374" t="s">
        <v>265</v>
      </c>
      <c r="C374">
        <v>0.80289999999999995</v>
      </c>
      <c r="L374" t="str">
        <f t="shared" si="5"/>
        <v xml:space="preserve"> Upper Darby</v>
      </c>
    </row>
    <row r="375" spans="1:12" x14ac:dyDescent="0.2">
      <c r="A375">
        <v>42101021600</v>
      </c>
      <c r="B375" t="s">
        <v>158</v>
      </c>
      <c r="C375" s="7">
        <v>0.88329999999999997</v>
      </c>
      <c r="D375">
        <f>VLOOKUP(A375,Philly_income!$A$2:$C$324,3,FALSE)</f>
        <v>34021</v>
      </c>
      <c r="L375" t="str">
        <f t="shared" si="5"/>
        <v xml:space="preserve"> Philadelphia</v>
      </c>
    </row>
    <row r="376" spans="1:12" hidden="1" x14ac:dyDescent="0.2">
      <c r="A376">
        <v>42101006600</v>
      </c>
      <c r="B376" t="s">
        <v>210</v>
      </c>
      <c r="C376">
        <v>0.80249999999999999</v>
      </c>
      <c r="D376" t="e">
        <f>VLOOKUP(A376,Philly_income!$A$2:$C$324,3,FALSE)</f>
        <v>#N/A</v>
      </c>
      <c r="L376" t="str">
        <f t="shared" si="5"/>
        <v xml:space="preserve"> Philadelphia</v>
      </c>
    </row>
    <row r="377" spans="1:12" hidden="1" x14ac:dyDescent="0.2">
      <c r="A377">
        <v>34015500400</v>
      </c>
      <c r="B377" t="s">
        <v>230</v>
      </c>
      <c r="C377">
        <v>0.80230000000000001</v>
      </c>
      <c r="L377" t="e">
        <f t="shared" si="5"/>
        <v>#VALUE!</v>
      </c>
    </row>
    <row r="378" spans="1:12" hidden="1" x14ac:dyDescent="0.2">
      <c r="A378">
        <v>42101023800</v>
      </c>
      <c r="B378" t="s">
        <v>158</v>
      </c>
      <c r="C378">
        <v>0.80049999999999999</v>
      </c>
      <c r="D378" t="e">
        <f>VLOOKUP(A378,Philly_income!$A$2:$C$324,3,FALSE)</f>
        <v>#N/A</v>
      </c>
      <c r="L378" t="str">
        <f t="shared" si="5"/>
        <v xml:space="preserve"> Philadelphia</v>
      </c>
    </row>
    <row r="379" spans="1:12" x14ac:dyDescent="0.2">
      <c r="A379">
        <v>42101031000</v>
      </c>
      <c r="B379" t="s">
        <v>249</v>
      </c>
      <c r="C379" s="7">
        <v>0.80559999999999998</v>
      </c>
      <c r="D379">
        <f>VLOOKUP(A379,Philly_income!$A$2:$C$324,3,FALSE)</f>
        <v>34146</v>
      </c>
      <c r="L379" t="str">
        <f t="shared" si="5"/>
        <v xml:space="preserve"> Philadelphia</v>
      </c>
    </row>
    <row r="380" spans="1:12" hidden="1" x14ac:dyDescent="0.2">
      <c r="A380">
        <v>34007607600</v>
      </c>
      <c r="B380" t="s">
        <v>313</v>
      </c>
      <c r="C380">
        <v>0.80020000000000002</v>
      </c>
      <c r="L380" t="e">
        <f t="shared" si="5"/>
        <v>#VALUE!</v>
      </c>
    </row>
    <row r="381" spans="1:12" hidden="1" x14ac:dyDescent="0.2">
      <c r="A381">
        <v>42101024900</v>
      </c>
      <c r="B381" t="s">
        <v>189</v>
      </c>
      <c r="C381">
        <v>0.8</v>
      </c>
      <c r="D381" t="e">
        <f>VLOOKUP(A381,Philly_income!$A$2:$C$324,3,FALSE)</f>
        <v>#N/A</v>
      </c>
      <c r="L381" t="str">
        <f t="shared" si="5"/>
        <v xml:space="preserve"> Philadelphia</v>
      </c>
    </row>
    <row r="382" spans="1:12" hidden="1" x14ac:dyDescent="0.2">
      <c r="A382">
        <v>42045403702</v>
      </c>
      <c r="B382" t="s">
        <v>254</v>
      </c>
      <c r="C382">
        <v>0.79990000000000006</v>
      </c>
      <c r="L382" t="str">
        <f t="shared" si="5"/>
        <v xml:space="preserve"> Tinicum Township</v>
      </c>
    </row>
    <row r="383" spans="1:12" hidden="1" x14ac:dyDescent="0.2">
      <c r="A383">
        <v>42101011900</v>
      </c>
      <c r="B383" t="s">
        <v>211</v>
      </c>
      <c r="C383">
        <v>0.79949999999999999</v>
      </c>
      <c r="D383" t="e">
        <f>VLOOKUP(A383,Philly_income!$A$2:$C$324,3,FALSE)</f>
        <v>#N/A</v>
      </c>
      <c r="L383" t="str">
        <f t="shared" si="5"/>
        <v xml:space="preserve"> Philadelphia</v>
      </c>
    </row>
    <row r="384" spans="1:12" hidden="1" x14ac:dyDescent="0.2">
      <c r="A384">
        <v>42101036700</v>
      </c>
      <c r="B384" t="s">
        <v>166</v>
      </c>
      <c r="C384">
        <v>0.7994</v>
      </c>
      <c r="D384" t="e">
        <f>VLOOKUP(A384,Philly_income!$A$2:$C$324,3,FALSE)</f>
        <v>#N/A</v>
      </c>
      <c r="L384" t="str">
        <f t="shared" si="5"/>
        <v xml:space="preserve"> Philadelphia</v>
      </c>
    </row>
    <row r="385" spans="1:12" hidden="1" x14ac:dyDescent="0.2">
      <c r="A385">
        <v>42045403701</v>
      </c>
      <c r="B385" t="s">
        <v>254</v>
      </c>
      <c r="C385">
        <v>0.7994</v>
      </c>
      <c r="L385" t="str">
        <f t="shared" si="5"/>
        <v xml:space="preserve"> Tinicum Township</v>
      </c>
    </row>
    <row r="386" spans="1:12" hidden="1" x14ac:dyDescent="0.2">
      <c r="A386">
        <v>42045400402</v>
      </c>
      <c r="B386" t="s">
        <v>237</v>
      </c>
      <c r="C386">
        <v>0.79910000000000003</v>
      </c>
      <c r="L386" t="e">
        <f t="shared" si="5"/>
        <v>#VALUE!</v>
      </c>
    </row>
    <row r="387" spans="1:12" hidden="1" x14ac:dyDescent="0.2">
      <c r="A387">
        <v>42045403101</v>
      </c>
      <c r="B387" t="s">
        <v>250</v>
      </c>
      <c r="C387">
        <v>0.79900000000000004</v>
      </c>
      <c r="L387" t="e">
        <f t="shared" ref="L387:L450" si="6">MID($B387, FIND(",",$B387)+1, FIND(",",$B387,FIND(",",$B387)+1) -1 -FIND(",",$B387))</f>
        <v>#VALUE!</v>
      </c>
    </row>
    <row r="388" spans="1:12" hidden="1" x14ac:dyDescent="0.2">
      <c r="A388">
        <v>42101009300</v>
      </c>
      <c r="B388" t="s">
        <v>181</v>
      </c>
      <c r="C388">
        <v>0.7984</v>
      </c>
      <c r="D388" t="e">
        <f>VLOOKUP(A388,Philly_income!$A$2:$C$324,3,FALSE)</f>
        <v>#N/A</v>
      </c>
      <c r="L388" t="str">
        <f t="shared" si="6"/>
        <v xml:space="preserve"> Philadelphia</v>
      </c>
    </row>
    <row r="389" spans="1:12" hidden="1" x14ac:dyDescent="0.2">
      <c r="A389">
        <v>42101011400</v>
      </c>
      <c r="B389" t="s">
        <v>214</v>
      </c>
      <c r="C389">
        <v>0.79830000000000001</v>
      </c>
      <c r="D389" t="e">
        <f>VLOOKUP(A389,Philly_income!$A$2:$C$324,3,FALSE)</f>
        <v>#N/A</v>
      </c>
      <c r="L389" t="str">
        <f t="shared" si="6"/>
        <v xml:space="preserve"> Philadelphia</v>
      </c>
    </row>
    <row r="390" spans="1:12" hidden="1" x14ac:dyDescent="0.2">
      <c r="A390">
        <v>42101008802</v>
      </c>
      <c r="B390" t="s">
        <v>160</v>
      </c>
      <c r="C390">
        <v>0.79800000000000004</v>
      </c>
      <c r="D390" t="e">
        <f>VLOOKUP(A390,Philly_income!$A$2:$C$324,3,FALSE)</f>
        <v>#N/A</v>
      </c>
      <c r="L390" t="str">
        <f t="shared" si="6"/>
        <v xml:space="preserve"> Philadelphia</v>
      </c>
    </row>
    <row r="391" spans="1:12" hidden="1" x14ac:dyDescent="0.2">
      <c r="A391">
        <v>42045402400</v>
      </c>
      <c r="B391" t="s">
        <v>215</v>
      </c>
      <c r="C391">
        <v>0.79779999999999995</v>
      </c>
      <c r="L391" t="e">
        <f t="shared" si="6"/>
        <v>#VALUE!</v>
      </c>
    </row>
    <row r="392" spans="1:12" hidden="1" x14ac:dyDescent="0.2">
      <c r="A392">
        <v>42045407805</v>
      </c>
      <c r="B392" t="s">
        <v>348</v>
      </c>
      <c r="C392">
        <v>0.79769999999999996</v>
      </c>
      <c r="L392" t="e">
        <f t="shared" si="6"/>
        <v>#VALUE!</v>
      </c>
    </row>
    <row r="393" spans="1:12" hidden="1" x14ac:dyDescent="0.2">
      <c r="A393">
        <v>42101035702</v>
      </c>
      <c r="B393" t="s">
        <v>277</v>
      </c>
      <c r="C393">
        <v>0.79479999999999995</v>
      </c>
      <c r="D393" t="e">
        <f>VLOOKUP(A393,Philly_income!$A$2:$C$324,3,FALSE)</f>
        <v>#N/A</v>
      </c>
      <c r="L393" t="str">
        <f t="shared" si="6"/>
        <v xml:space="preserve"> Philadelphia</v>
      </c>
    </row>
    <row r="394" spans="1:12" x14ac:dyDescent="0.2">
      <c r="A394">
        <v>42101033900</v>
      </c>
      <c r="B394" t="s">
        <v>297</v>
      </c>
      <c r="C394" s="7">
        <v>0.82410000000000005</v>
      </c>
      <c r="D394">
        <f>VLOOKUP(A394,Philly_income!$A$2:$C$324,3,FALSE)</f>
        <v>34177</v>
      </c>
      <c r="L394" t="str">
        <f t="shared" si="6"/>
        <v xml:space="preserve"> Philadelphia</v>
      </c>
    </row>
    <row r="395" spans="1:12" hidden="1" x14ac:dyDescent="0.2">
      <c r="A395">
        <v>34007604600</v>
      </c>
      <c r="B395" t="s">
        <v>222</v>
      </c>
      <c r="C395">
        <v>0.79410000000000003</v>
      </c>
      <c r="L395" t="e">
        <f t="shared" si="6"/>
        <v>#VALUE!</v>
      </c>
    </row>
    <row r="396" spans="1:12" hidden="1" x14ac:dyDescent="0.2">
      <c r="A396">
        <v>42091204002</v>
      </c>
      <c r="B396" t="s">
        <v>318</v>
      </c>
      <c r="C396">
        <v>0.79359999999999997</v>
      </c>
      <c r="L396" t="e">
        <f t="shared" si="6"/>
        <v>#VALUE!</v>
      </c>
    </row>
    <row r="397" spans="1:12" hidden="1" x14ac:dyDescent="0.2">
      <c r="A397">
        <v>42101017701</v>
      </c>
      <c r="B397" t="s">
        <v>166</v>
      </c>
      <c r="C397">
        <v>0.79359999999999997</v>
      </c>
      <c r="D397" t="e">
        <f>VLOOKUP(A397,Philly_income!$A$2:$C$324,3,FALSE)</f>
        <v>#N/A</v>
      </c>
      <c r="L397" t="str">
        <f t="shared" si="6"/>
        <v xml:space="preserve"> Philadelphia</v>
      </c>
    </row>
    <row r="398" spans="1:12" x14ac:dyDescent="0.2">
      <c r="A398">
        <v>42101000200</v>
      </c>
      <c r="B398" t="s">
        <v>235</v>
      </c>
      <c r="C398" s="7">
        <v>0.84489999999999998</v>
      </c>
      <c r="D398">
        <f>VLOOKUP(A398,Philly_income!$A$2:$C$324,3,FALSE)</f>
        <v>34182</v>
      </c>
      <c r="L398" t="str">
        <f t="shared" si="6"/>
        <v xml:space="preserve"> Philadelphia</v>
      </c>
    </row>
    <row r="399" spans="1:12" hidden="1" x14ac:dyDescent="0.2">
      <c r="A399">
        <v>42045404300</v>
      </c>
      <c r="B399" t="s">
        <v>247</v>
      </c>
      <c r="C399">
        <v>0.79320000000000002</v>
      </c>
      <c r="L399" t="e">
        <f t="shared" si="6"/>
        <v>#VALUE!</v>
      </c>
    </row>
    <row r="400" spans="1:12" hidden="1" x14ac:dyDescent="0.2">
      <c r="A400">
        <v>42101024100</v>
      </c>
      <c r="B400" t="s">
        <v>200</v>
      </c>
      <c r="C400">
        <v>0.79300000000000004</v>
      </c>
      <c r="D400" t="e">
        <f>VLOOKUP(A400,Philly_income!$A$2:$C$324,3,FALSE)</f>
        <v>#N/A</v>
      </c>
      <c r="L400" t="str">
        <f t="shared" si="6"/>
        <v xml:space="preserve"> Philadelphia</v>
      </c>
    </row>
    <row r="401" spans="1:12" x14ac:dyDescent="0.2">
      <c r="A401">
        <v>42101034000</v>
      </c>
      <c r="B401" t="s">
        <v>297</v>
      </c>
      <c r="C401" s="7">
        <v>0.83240000000000003</v>
      </c>
      <c r="D401">
        <f>VLOOKUP(A401,Philly_income!$A$2:$C$324,3,FALSE)</f>
        <v>34244</v>
      </c>
      <c r="L401" t="str">
        <f t="shared" si="6"/>
        <v xml:space="preserve"> Philadelphia</v>
      </c>
    </row>
    <row r="402" spans="1:12" hidden="1" x14ac:dyDescent="0.2">
      <c r="A402">
        <v>34005700104</v>
      </c>
      <c r="B402" t="s">
        <v>236</v>
      </c>
      <c r="C402">
        <v>0.7923</v>
      </c>
      <c r="L402" t="e">
        <f t="shared" si="6"/>
        <v>#VALUE!</v>
      </c>
    </row>
    <row r="403" spans="1:12" hidden="1" x14ac:dyDescent="0.2">
      <c r="A403">
        <v>34007610800</v>
      </c>
      <c r="B403" t="s">
        <v>228</v>
      </c>
      <c r="C403">
        <v>0.79220000000000002</v>
      </c>
      <c r="L403" t="e">
        <f t="shared" si="6"/>
        <v>#VALUE!</v>
      </c>
    </row>
    <row r="404" spans="1:12" x14ac:dyDescent="0.2">
      <c r="A404">
        <v>42101021100</v>
      </c>
      <c r="B404" t="s">
        <v>158</v>
      </c>
      <c r="C404" s="7">
        <v>0.84740000000000004</v>
      </c>
      <c r="D404">
        <f>VLOOKUP(A404,Philly_income!$A$2:$C$324,3,FALSE)</f>
        <v>34377</v>
      </c>
      <c r="L404" t="str">
        <f t="shared" si="6"/>
        <v xml:space="preserve"> Philadelphia</v>
      </c>
    </row>
    <row r="405" spans="1:12" hidden="1" x14ac:dyDescent="0.2">
      <c r="A405">
        <v>42045400301</v>
      </c>
      <c r="B405" t="s">
        <v>237</v>
      </c>
      <c r="C405">
        <v>0.79139999999999999</v>
      </c>
      <c r="L405" t="e">
        <f t="shared" si="6"/>
        <v>#VALUE!</v>
      </c>
    </row>
    <row r="406" spans="1:12" hidden="1" x14ac:dyDescent="0.2">
      <c r="A406">
        <v>42045402500</v>
      </c>
      <c r="B406" t="s">
        <v>215</v>
      </c>
      <c r="C406">
        <v>0.79120000000000001</v>
      </c>
      <c r="L406" t="e">
        <f t="shared" si="6"/>
        <v>#VALUE!</v>
      </c>
    </row>
    <row r="407" spans="1:12" hidden="1" x14ac:dyDescent="0.2">
      <c r="A407">
        <v>42101009801</v>
      </c>
      <c r="B407" t="s">
        <v>214</v>
      </c>
      <c r="C407">
        <v>0.79079999999999995</v>
      </c>
      <c r="D407" t="e">
        <f>VLOOKUP(A407,Philly_income!$A$2:$C$324,3,FALSE)</f>
        <v>#N/A</v>
      </c>
      <c r="L407" t="str">
        <f t="shared" si="6"/>
        <v xml:space="preserve"> Philadelphia</v>
      </c>
    </row>
    <row r="408" spans="1:12" hidden="1" x14ac:dyDescent="0.2">
      <c r="A408">
        <v>34007610500</v>
      </c>
      <c r="B408" t="s">
        <v>228</v>
      </c>
      <c r="C408">
        <v>0.79069999999999996</v>
      </c>
      <c r="L408" t="e">
        <f t="shared" si="6"/>
        <v>#VALUE!</v>
      </c>
    </row>
    <row r="409" spans="1:12" hidden="1" x14ac:dyDescent="0.2">
      <c r="A409">
        <v>42101006400</v>
      </c>
      <c r="B409" t="s">
        <v>210</v>
      </c>
      <c r="C409">
        <v>0.79049999999999998</v>
      </c>
      <c r="D409" t="e">
        <f>VLOOKUP(A409,Philly_income!$A$2:$C$324,3,FALSE)</f>
        <v>#N/A</v>
      </c>
      <c r="L409" t="str">
        <f t="shared" si="6"/>
        <v xml:space="preserve"> Philadelphia</v>
      </c>
    </row>
    <row r="410" spans="1:12" hidden="1" x14ac:dyDescent="0.2">
      <c r="A410">
        <v>42101024000</v>
      </c>
      <c r="B410" t="s">
        <v>200</v>
      </c>
      <c r="C410">
        <v>0.79020000000000001</v>
      </c>
      <c r="D410" t="e">
        <f>VLOOKUP(A410,Philly_income!$A$2:$C$324,3,FALSE)</f>
        <v>#N/A</v>
      </c>
      <c r="L410" t="str">
        <f t="shared" si="6"/>
        <v xml:space="preserve"> Philadelphia</v>
      </c>
    </row>
    <row r="411" spans="1:12" hidden="1" x14ac:dyDescent="0.2">
      <c r="A411">
        <v>34005700405</v>
      </c>
      <c r="B411" t="s">
        <v>240</v>
      </c>
      <c r="C411">
        <v>0.78990000000000005</v>
      </c>
      <c r="L411" t="e">
        <f t="shared" si="6"/>
        <v>#VALUE!</v>
      </c>
    </row>
    <row r="412" spans="1:12" hidden="1" x14ac:dyDescent="0.2">
      <c r="A412">
        <v>34007606700</v>
      </c>
      <c r="B412" t="s">
        <v>303</v>
      </c>
      <c r="C412">
        <v>0.78969999999999996</v>
      </c>
      <c r="L412" t="e">
        <f t="shared" si="6"/>
        <v>#VALUE!</v>
      </c>
    </row>
    <row r="413" spans="1:12" x14ac:dyDescent="0.2">
      <c r="A413">
        <v>42101033701</v>
      </c>
      <c r="B413" t="s">
        <v>155</v>
      </c>
      <c r="C413" s="7">
        <v>0.80740000000000001</v>
      </c>
      <c r="D413">
        <f>VLOOKUP(A413,Philly_income!$A$2:$C$324,3,FALSE)</f>
        <v>34433</v>
      </c>
      <c r="L413" t="str">
        <f t="shared" si="6"/>
        <v xml:space="preserve"> Philadelphia</v>
      </c>
    </row>
    <row r="414" spans="1:12" hidden="1" x14ac:dyDescent="0.2">
      <c r="A414">
        <v>34007602901</v>
      </c>
      <c r="B414" t="s">
        <v>228</v>
      </c>
      <c r="C414">
        <v>0.78879999999999995</v>
      </c>
      <c r="L414" t="e">
        <f t="shared" si="6"/>
        <v>#VALUE!</v>
      </c>
    </row>
    <row r="415" spans="1:12" hidden="1" x14ac:dyDescent="0.2">
      <c r="A415">
        <v>34007605602</v>
      </c>
      <c r="B415" t="s">
        <v>285</v>
      </c>
      <c r="C415">
        <v>0.78859999999999997</v>
      </c>
      <c r="L415" t="e">
        <f t="shared" si="6"/>
        <v>#VALUE!</v>
      </c>
    </row>
    <row r="416" spans="1:12" hidden="1" x14ac:dyDescent="0.2">
      <c r="A416">
        <v>42101026000</v>
      </c>
      <c r="B416" t="s">
        <v>166</v>
      </c>
      <c r="C416">
        <v>0.78849999999999998</v>
      </c>
      <c r="D416" t="e">
        <f>VLOOKUP(A416,Philly_income!$A$2:$C$324,3,FALSE)</f>
        <v>#N/A</v>
      </c>
      <c r="L416" t="str">
        <f t="shared" si="6"/>
        <v xml:space="preserve"> Philadelphia</v>
      </c>
    </row>
    <row r="417" spans="1:12" hidden="1" x14ac:dyDescent="0.2">
      <c r="A417">
        <v>42045402300</v>
      </c>
      <c r="B417" t="s">
        <v>229</v>
      </c>
      <c r="C417">
        <v>0.7883</v>
      </c>
      <c r="L417" t="e">
        <f t="shared" si="6"/>
        <v>#VALUE!</v>
      </c>
    </row>
    <row r="418" spans="1:12" hidden="1" x14ac:dyDescent="0.2">
      <c r="A418">
        <v>42101035800</v>
      </c>
      <c r="B418" t="s">
        <v>155</v>
      </c>
      <c r="C418">
        <v>0.78779999999999994</v>
      </c>
      <c r="D418" t="e">
        <f>VLOOKUP(A418,Philly_income!$A$2:$C$324,3,FALSE)</f>
        <v>#N/A</v>
      </c>
      <c r="L418" t="str">
        <f t="shared" si="6"/>
        <v xml:space="preserve"> Philadelphia</v>
      </c>
    </row>
    <row r="419" spans="1:12" hidden="1" x14ac:dyDescent="0.2">
      <c r="A419">
        <v>42101035601</v>
      </c>
      <c r="B419" t="s">
        <v>277</v>
      </c>
      <c r="C419">
        <v>0.78769999999999996</v>
      </c>
      <c r="D419" t="e">
        <f>VLOOKUP(A419,Philly_income!$A$2:$C$324,3,FALSE)</f>
        <v>#N/A</v>
      </c>
      <c r="L419" t="str">
        <f t="shared" si="6"/>
        <v xml:space="preserve"> Philadelphia</v>
      </c>
    </row>
    <row r="420" spans="1:12" hidden="1" x14ac:dyDescent="0.2">
      <c r="A420">
        <v>42101000500</v>
      </c>
      <c r="B420" t="s">
        <v>235</v>
      </c>
      <c r="C420">
        <v>0.78710000000000002</v>
      </c>
      <c r="D420" t="e">
        <f>VLOOKUP(A420,Philly_income!$A$2:$C$324,3,FALSE)</f>
        <v>#N/A</v>
      </c>
      <c r="L420" t="str">
        <f t="shared" si="6"/>
        <v xml:space="preserve"> Philadelphia</v>
      </c>
    </row>
    <row r="421" spans="1:12" x14ac:dyDescent="0.2">
      <c r="A421">
        <v>42101035301</v>
      </c>
      <c r="B421" t="s">
        <v>304</v>
      </c>
      <c r="C421" s="7">
        <v>0.85309999999999997</v>
      </c>
      <c r="D421">
        <f>VLOOKUP(A421,Philly_income!$A$2:$C$324,3,FALSE)</f>
        <v>34455</v>
      </c>
      <c r="L421" t="str">
        <f t="shared" si="6"/>
        <v xml:space="preserve"> Philadelphia</v>
      </c>
    </row>
    <row r="422" spans="1:12" hidden="1" x14ac:dyDescent="0.2">
      <c r="A422">
        <v>42101028500</v>
      </c>
      <c r="B422" t="s">
        <v>166</v>
      </c>
      <c r="C422">
        <v>0.78700000000000003</v>
      </c>
      <c r="D422" t="e">
        <f>VLOOKUP(A422,Philly_income!$A$2:$C$324,3,FALSE)</f>
        <v>#N/A</v>
      </c>
      <c r="L422" t="str">
        <f t="shared" si="6"/>
        <v xml:space="preserve"> Philadelphia</v>
      </c>
    </row>
    <row r="423" spans="1:12" hidden="1" x14ac:dyDescent="0.2">
      <c r="A423">
        <v>42017100210</v>
      </c>
      <c r="B423" t="s">
        <v>258</v>
      </c>
      <c r="C423">
        <v>0.78669999999999995</v>
      </c>
      <c r="L423" t="e">
        <f t="shared" si="6"/>
        <v>#VALUE!</v>
      </c>
    </row>
    <row r="424" spans="1:12" hidden="1" x14ac:dyDescent="0.2">
      <c r="A424">
        <v>34005701001</v>
      </c>
      <c r="B424" t="s">
        <v>273</v>
      </c>
      <c r="C424">
        <v>0.78649999999999998</v>
      </c>
      <c r="L424" t="e">
        <f t="shared" si="6"/>
        <v>#VALUE!</v>
      </c>
    </row>
    <row r="425" spans="1:12" x14ac:dyDescent="0.2">
      <c r="A425">
        <v>42101033102</v>
      </c>
      <c r="B425" t="s">
        <v>154</v>
      </c>
      <c r="C425" s="7">
        <v>0.86829999999999996</v>
      </c>
      <c r="D425">
        <f>VLOOKUP(A425,Philly_income!$A$2:$C$324,3,FALSE)</f>
        <v>34554</v>
      </c>
      <c r="L425" t="str">
        <f t="shared" si="6"/>
        <v xml:space="preserve"> Philadelphia</v>
      </c>
    </row>
    <row r="426" spans="1:12" hidden="1" x14ac:dyDescent="0.2">
      <c r="A426">
        <v>42101028901</v>
      </c>
      <c r="B426" t="s">
        <v>220</v>
      </c>
      <c r="C426">
        <v>0.78590000000000004</v>
      </c>
      <c r="D426" t="e">
        <f>VLOOKUP(A426,Philly_income!$A$2:$C$324,3,FALSE)</f>
        <v>#N/A</v>
      </c>
      <c r="L426" t="str">
        <f t="shared" si="6"/>
        <v xml:space="preserve"> Philadelphia</v>
      </c>
    </row>
    <row r="427" spans="1:12" hidden="1" x14ac:dyDescent="0.2">
      <c r="A427">
        <v>42091201606</v>
      </c>
      <c r="B427" t="s">
        <v>262</v>
      </c>
      <c r="C427">
        <v>0.78559999999999997</v>
      </c>
      <c r="L427" t="str">
        <f t="shared" si="6"/>
        <v xml:space="preserve"> Abington</v>
      </c>
    </row>
    <row r="428" spans="1:12" x14ac:dyDescent="0.2">
      <c r="A428">
        <v>42101032600</v>
      </c>
      <c r="B428" t="s">
        <v>155</v>
      </c>
      <c r="C428" s="7">
        <v>0.88770000000000004</v>
      </c>
      <c r="D428">
        <f>VLOOKUP(A428,Philly_income!$A$2:$C$324,3,FALSE)</f>
        <v>34683</v>
      </c>
      <c r="L428" t="str">
        <f t="shared" si="6"/>
        <v xml:space="preserve"> Philadelphia</v>
      </c>
    </row>
    <row r="429" spans="1:12" hidden="1" x14ac:dyDescent="0.2">
      <c r="A429">
        <v>42045409200</v>
      </c>
      <c r="B429" t="s">
        <v>336</v>
      </c>
      <c r="C429">
        <v>0.78410000000000002</v>
      </c>
      <c r="L429" t="e">
        <f t="shared" si="6"/>
        <v>#VALUE!</v>
      </c>
    </row>
    <row r="430" spans="1:12" x14ac:dyDescent="0.2">
      <c r="A430">
        <v>42101000902</v>
      </c>
      <c r="B430" t="s">
        <v>235</v>
      </c>
      <c r="C430" s="7">
        <v>0.73650000000000004</v>
      </c>
      <c r="D430">
        <f>VLOOKUP(A430,Philly_income!$A$2:$C$324,3,FALSE)</f>
        <v>34793</v>
      </c>
      <c r="L430" t="str">
        <f t="shared" si="6"/>
        <v xml:space="preserve"> Philadelphia</v>
      </c>
    </row>
    <row r="431" spans="1:12" hidden="1" x14ac:dyDescent="0.2">
      <c r="A431">
        <v>42091203304</v>
      </c>
      <c r="B431" t="s">
        <v>221</v>
      </c>
      <c r="C431">
        <v>0.78359999999999996</v>
      </c>
      <c r="L431" t="e">
        <f t="shared" si="6"/>
        <v>#VALUE!</v>
      </c>
    </row>
    <row r="432" spans="1:12" hidden="1" x14ac:dyDescent="0.2">
      <c r="A432">
        <v>34005700103</v>
      </c>
      <c r="B432" t="s">
        <v>236</v>
      </c>
      <c r="C432">
        <v>0.78339999999999999</v>
      </c>
      <c r="L432" t="e">
        <f t="shared" si="6"/>
        <v>#VALUE!</v>
      </c>
    </row>
    <row r="433" spans="1:12" hidden="1" x14ac:dyDescent="0.2">
      <c r="A433">
        <v>34007602601</v>
      </c>
      <c r="B433" t="s">
        <v>228</v>
      </c>
      <c r="C433">
        <v>0.78149999999999997</v>
      </c>
      <c r="L433" t="e">
        <f t="shared" si="6"/>
        <v>#VALUE!</v>
      </c>
    </row>
    <row r="434" spans="1:12" x14ac:dyDescent="0.2">
      <c r="A434">
        <v>42101026900</v>
      </c>
      <c r="B434" t="s">
        <v>166</v>
      </c>
      <c r="C434" s="7">
        <v>0.745</v>
      </c>
      <c r="D434">
        <f>VLOOKUP(A434,Philly_income!$A$2:$C$324,3,FALSE)</f>
        <v>34805</v>
      </c>
      <c r="L434" t="str">
        <f t="shared" si="6"/>
        <v xml:space="preserve"> Philadelphia</v>
      </c>
    </row>
    <row r="435" spans="1:12" hidden="1" x14ac:dyDescent="0.2">
      <c r="A435">
        <v>42045400802</v>
      </c>
      <c r="B435" t="s">
        <v>265</v>
      </c>
      <c r="C435">
        <v>0.78100000000000003</v>
      </c>
      <c r="L435" t="str">
        <f t="shared" si="6"/>
        <v xml:space="preserve"> Upper Darby</v>
      </c>
    </row>
    <row r="436" spans="1:12" hidden="1" x14ac:dyDescent="0.2">
      <c r="A436">
        <v>42101020000</v>
      </c>
      <c r="B436" t="s">
        <v>166</v>
      </c>
      <c r="C436">
        <v>0.78090000000000004</v>
      </c>
      <c r="D436" t="e">
        <f>VLOOKUP(A436,Philly_income!$A$2:$C$324,3,FALSE)</f>
        <v>#N/A</v>
      </c>
      <c r="L436" t="str">
        <f t="shared" si="6"/>
        <v xml:space="preserve"> Philadelphia</v>
      </c>
    </row>
    <row r="437" spans="1:12" hidden="1" x14ac:dyDescent="0.2">
      <c r="A437">
        <v>42017100304</v>
      </c>
      <c r="B437" t="s">
        <v>243</v>
      </c>
      <c r="C437">
        <v>0.78049999999999997</v>
      </c>
      <c r="L437" t="e">
        <f t="shared" si="6"/>
        <v>#VALUE!</v>
      </c>
    </row>
    <row r="438" spans="1:12" hidden="1" x14ac:dyDescent="0.2">
      <c r="A438">
        <v>42091202000</v>
      </c>
      <c r="B438" t="s">
        <v>334</v>
      </c>
      <c r="C438">
        <v>0.78010000000000002</v>
      </c>
      <c r="L438" t="e">
        <f t="shared" si="6"/>
        <v>#VALUE!</v>
      </c>
    </row>
    <row r="439" spans="1:12" hidden="1" x14ac:dyDescent="0.2">
      <c r="A439">
        <v>34007607402</v>
      </c>
      <c r="B439" t="s">
        <v>248</v>
      </c>
      <c r="C439">
        <v>0.77990000000000004</v>
      </c>
      <c r="L439" t="e">
        <f t="shared" si="6"/>
        <v>#VALUE!</v>
      </c>
    </row>
    <row r="440" spans="1:12" hidden="1" x14ac:dyDescent="0.2">
      <c r="A440">
        <v>34007606500</v>
      </c>
      <c r="B440" t="s">
        <v>225</v>
      </c>
      <c r="C440">
        <v>0.77949999999999997</v>
      </c>
      <c r="L440" t="e">
        <f t="shared" si="6"/>
        <v>#VALUE!</v>
      </c>
    </row>
    <row r="441" spans="1:12" hidden="1" x14ac:dyDescent="0.2">
      <c r="A441">
        <v>42101035701</v>
      </c>
      <c r="B441" t="s">
        <v>277</v>
      </c>
      <c r="C441">
        <v>0.77900000000000003</v>
      </c>
      <c r="D441" t="e">
        <f>VLOOKUP(A441,Philly_income!$A$2:$C$324,3,FALSE)</f>
        <v>#N/A</v>
      </c>
      <c r="L441" t="str">
        <f t="shared" si="6"/>
        <v xml:space="preserve"> Philadelphia</v>
      </c>
    </row>
    <row r="442" spans="1:12" hidden="1" x14ac:dyDescent="0.2">
      <c r="A442">
        <v>42045401103</v>
      </c>
      <c r="B442" t="s">
        <v>265</v>
      </c>
      <c r="C442">
        <v>0.77869999999999995</v>
      </c>
      <c r="L442" t="str">
        <f t="shared" si="6"/>
        <v xml:space="preserve"> Upper Darby</v>
      </c>
    </row>
    <row r="443" spans="1:12" hidden="1" x14ac:dyDescent="0.2">
      <c r="A443">
        <v>42101023900</v>
      </c>
      <c r="B443" t="s">
        <v>158</v>
      </c>
      <c r="C443">
        <v>0.77800000000000002</v>
      </c>
      <c r="D443" t="e">
        <f>VLOOKUP(A443,Philly_income!$A$2:$C$324,3,FALSE)</f>
        <v>#N/A</v>
      </c>
      <c r="L443" t="str">
        <f t="shared" si="6"/>
        <v xml:space="preserve"> Philadelphia</v>
      </c>
    </row>
    <row r="444" spans="1:12" hidden="1" x14ac:dyDescent="0.2">
      <c r="A444">
        <v>42045400401</v>
      </c>
      <c r="B444" t="s">
        <v>237</v>
      </c>
      <c r="C444">
        <v>0.77790000000000004</v>
      </c>
      <c r="L444" t="e">
        <f t="shared" si="6"/>
        <v>#VALUE!</v>
      </c>
    </row>
    <row r="445" spans="1:12" hidden="1" x14ac:dyDescent="0.2">
      <c r="A445">
        <v>34005700307</v>
      </c>
      <c r="B445" t="s">
        <v>292</v>
      </c>
      <c r="C445">
        <v>0.77729999999999999</v>
      </c>
      <c r="L445" t="e">
        <f t="shared" si="6"/>
        <v>#VALUE!</v>
      </c>
    </row>
    <row r="446" spans="1:12" hidden="1" x14ac:dyDescent="0.2">
      <c r="A446">
        <v>42101034600</v>
      </c>
      <c r="B446" t="s">
        <v>155</v>
      </c>
      <c r="C446">
        <v>0.77700000000000002</v>
      </c>
      <c r="D446" t="e">
        <f>VLOOKUP(A446,Philly_income!$A$2:$C$324,3,FALSE)</f>
        <v>#N/A</v>
      </c>
      <c r="L446" t="str">
        <f t="shared" si="6"/>
        <v xml:space="preserve"> Philadelphia</v>
      </c>
    </row>
    <row r="447" spans="1:12" hidden="1" x14ac:dyDescent="0.2">
      <c r="A447">
        <v>42017100206</v>
      </c>
      <c r="B447" t="s">
        <v>258</v>
      </c>
      <c r="C447">
        <v>0.7762</v>
      </c>
      <c r="L447" t="e">
        <f t="shared" si="6"/>
        <v>#VALUE!</v>
      </c>
    </row>
    <row r="448" spans="1:12" hidden="1" x14ac:dyDescent="0.2">
      <c r="A448">
        <v>42045407804</v>
      </c>
      <c r="B448" t="s">
        <v>348</v>
      </c>
      <c r="C448">
        <v>0.77600000000000002</v>
      </c>
      <c r="L448" t="e">
        <f t="shared" si="6"/>
        <v>#VALUE!</v>
      </c>
    </row>
    <row r="449" spans="1:12" x14ac:dyDescent="0.2">
      <c r="A449">
        <v>42101030700</v>
      </c>
      <c r="B449" t="s">
        <v>238</v>
      </c>
      <c r="C449" s="7">
        <v>0.82220000000000004</v>
      </c>
      <c r="D449">
        <f>VLOOKUP(A449,Philly_income!$A$2:$C$324,3,FALSE)</f>
        <v>34852</v>
      </c>
      <c r="L449" t="str">
        <f t="shared" si="6"/>
        <v xml:space="preserve"> Philadelphia</v>
      </c>
    </row>
    <row r="450" spans="1:12" hidden="1" x14ac:dyDescent="0.2">
      <c r="A450">
        <v>42091201604</v>
      </c>
      <c r="B450" t="s">
        <v>262</v>
      </c>
      <c r="C450">
        <v>0.77549999999999997</v>
      </c>
      <c r="L450" t="str">
        <f t="shared" si="6"/>
        <v xml:space="preserve"> Abington</v>
      </c>
    </row>
    <row r="451" spans="1:12" hidden="1" x14ac:dyDescent="0.2">
      <c r="A451">
        <v>42045402100</v>
      </c>
      <c r="B451" t="s">
        <v>229</v>
      </c>
      <c r="C451">
        <v>0.7752</v>
      </c>
      <c r="L451" t="e">
        <f t="shared" ref="L451:L514" si="7">MID($B451, FIND(",",$B451)+1, FIND(",",$B451,FIND(",",$B451)+1) -1 -FIND(",",$B451))</f>
        <v>#VALUE!</v>
      </c>
    </row>
    <row r="452" spans="1:12" hidden="1" x14ac:dyDescent="0.2">
      <c r="A452">
        <v>42017101401</v>
      </c>
      <c r="B452" t="s">
        <v>327</v>
      </c>
      <c r="C452">
        <v>0.77490000000000003</v>
      </c>
      <c r="L452" t="e">
        <f t="shared" si="7"/>
        <v>#VALUE!</v>
      </c>
    </row>
    <row r="453" spans="1:12" hidden="1" x14ac:dyDescent="0.2">
      <c r="A453">
        <v>42045402000</v>
      </c>
      <c r="B453" t="s">
        <v>229</v>
      </c>
      <c r="C453">
        <v>0.77459999999999996</v>
      </c>
      <c r="L453" t="e">
        <f t="shared" si="7"/>
        <v>#VALUE!</v>
      </c>
    </row>
    <row r="454" spans="1:12" hidden="1" x14ac:dyDescent="0.2">
      <c r="A454">
        <v>42045401900</v>
      </c>
      <c r="B454" t="s">
        <v>229</v>
      </c>
      <c r="C454">
        <v>0.77400000000000002</v>
      </c>
      <c r="L454" t="e">
        <f t="shared" si="7"/>
        <v>#VALUE!</v>
      </c>
    </row>
    <row r="455" spans="1:12" hidden="1" x14ac:dyDescent="0.2">
      <c r="A455">
        <v>42045401502</v>
      </c>
      <c r="B455" t="s">
        <v>263</v>
      </c>
      <c r="C455">
        <v>0.77310000000000001</v>
      </c>
      <c r="L455" t="e">
        <f t="shared" si="7"/>
        <v>#VALUE!</v>
      </c>
    </row>
    <row r="456" spans="1:12" hidden="1" x14ac:dyDescent="0.2">
      <c r="A456">
        <v>34007603700</v>
      </c>
      <c r="B456" t="s">
        <v>305</v>
      </c>
      <c r="C456">
        <v>0.77310000000000001</v>
      </c>
      <c r="L456" t="str">
        <f t="shared" si="7"/>
        <v xml:space="preserve"> Cherry Hill</v>
      </c>
    </row>
    <row r="457" spans="1:12" hidden="1" x14ac:dyDescent="0.2">
      <c r="A457">
        <v>34005700703</v>
      </c>
      <c r="B457" t="s">
        <v>269</v>
      </c>
      <c r="C457">
        <v>0.77300000000000002</v>
      </c>
      <c r="L457" t="e">
        <f t="shared" si="7"/>
        <v>#VALUE!</v>
      </c>
    </row>
    <row r="458" spans="1:12" hidden="1" x14ac:dyDescent="0.2">
      <c r="A458">
        <v>42091201603</v>
      </c>
      <c r="B458" t="s">
        <v>268</v>
      </c>
      <c r="C458">
        <v>0.77210000000000001</v>
      </c>
      <c r="L458" t="e">
        <f t="shared" si="7"/>
        <v>#VALUE!</v>
      </c>
    </row>
    <row r="459" spans="1:12" hidden="1" x14ac:dyDescent="0.2">
      <c r="A459">
        <v>42101012000</v>
      </c>
      <c r="B459" t="s">
        <v>160</v>
      </c>
      <c r="C459">
        <v>0.77190000000000003</v>
      </c>
      <c r="D459" t="e">
        <f>VLOOKUP(A459,Philly_income!$A$2:$C$324,3,FALSE)</f>
        <v>#N/A</v>
      </c>
      <c r="L459" t="str">
        <f t="shared" si="7"/>
        <v xml:space="preserve"> Philadelphia</v>
      </c>
    </row>
    <row r="460" spans="1:12" hidden="1" x14ac:dyDescent="0.2">
      <c r="A460">
        <v>34007607401</v>
      </c>
      <c r="B460" t="s">
        <v>248</v>
      </c>
      <c r="C460">
        <v>0.7712</v>
      </c>
      <c r="L460" t="e">
        <f t="shared" si="7"/>
        <v>#VALUE!</v>
      </c>
    </row>
    <row r="461" spans="1:12" hidden="1" x14ac:dyDescent="0.2">
      <c r="A461">
        <v>42091201703</v>
      </c>
      <c r="B461" t="s">
        <v>302</v>
      </c>
      <c r="C461">
        <v>0.77100000000000002</v>
      </c>
      <c r="L461" t="e">
        <f t="shared" si="7"/>
        <v>#VALUE!</v>
      </c>
    </row>
    <row r="462" spans="1:12" hidden="1" x14ac:dyDescent="0.2">
      <c r="A462">
        <v>42045401302</v>
      </c>
      <c r="B462" t="s">
        <v>265</v>
      </c>
      <c r="C462">
        <v>0.77080000000000004</v>
      </c>
      <c r="L462" t="str">
        <f t="shared" si="7"/>
        <v xml:space="preserve"> Upper Darby</v>
      </c>
    </row>
    <row r="463" spans="1:12" hidden="1" x14ac:dyDescent="0.2">
      <c r="A463">
        <v>42045410602</v>
      </c>
      <c r="B463" t="s">
        <v>309</v>
      </c>
      <c r="C463">
        <v>0.77080000000000004</v>
      </c>
      <c r="L463" t="e">
        <f t="shared" si="7"/>
        <v>#VALUE!</v>
      </c>
    </row>
    <row r="464" spans="1:12" hidden="1" x14ac:dyDescent="0.2">
      <c r="A464">
        <v>34007603001</v>
      </c>
      <c r="B464" t="s">
        <v>276</v>
      </c>
      <c r="C464">
        <v>0.77080000000000004</v>
      </c>
      <c r="L464" t="e">
        <f t="shared" si="7"/>
        <v>#VALUE!</v>
      </c>
    </row>
    <row r="465" spans="1:12" hidden="1" x14ac:dyDescent="0.2">
      <c r="A465">
        <v>42045404003</v>
      </c>
      <c r="B465" t="s">
        <v>263</v>
      </c>
      <c r="C465">
        <v>0.77070000000000005</v>
      </c>
      <c r="L465" t="e">
        <f t="shared" si="7"/>
        <v>#VALUE!</v>
      </c>
    </row>
    <row r="466" spans="1:12" x14ac:dyDescent="0.2">
      <c r="A466">
        <v>42101023500</v>
      </c>
      <c r="B466" t="s">
        <v>232</v>
      </c>
      <c r="C466" s="7">
        <v>0.67400000000000004</v>
      </c>
      <c r="D466">
        <f>VLOOKUP(A466,Philly_income!$A$2:$C$324,3,FALSE)</f>
        <v>34874</v>
      </c>
      <c r="L466" t="str">
        <f t="shared" si="7"/>
        <v xml:space="preserve"> Philadelphia</v>
      </c>
    </row>
    <row r="467" spans="1:12" hidden="1" x14ac:dyDescent="0.2">
      <c r="A467">
        <v>42017100209</v>
      </c>
      <c r="B467" t="s">
        <v>258</v>
      </c>
      <c r="C467">
        <v>0.77029999999999998</v>
      </c>
      <c r="L467" t="e">
        <f t="shared" si="7"/>
        <v>#VALUE!</v>
      </c>
    </row>
    <row r="468" spans="1:12" hidden="1" x14ac:dyDescent="0.2">
      <c r="A468">
        <v>42101027200</v>
      </c>
      <c r="B468" t="s">
        <v>166</v>
      </c>
      <c r="C468">
        <v>0.76990000000000003</v>
      </c>
      <c r="D468" t="e">
        <f>VLOOKUP(A468,Philly_income!$A$2:$C$324,3,FALSE)</f>
        <v>#N/A</v>
      </c>
      <c r="L468" t="str">
        <f t="shared" si="7"/>
        <v xml:space="preserve"> Philadelphia</v>
      </c>
    </row>
    <row r="469" spans="1:12" hidden="1" x14ac:dyDescent="0.2">
      <c r="A469">
        <v>34005704004</v>
      </c>
      <c r="B469" t="s">
        <v>316</v>
      </c>
      <c r="C469">
        <v>0.76990000000000003</v>
      </c>
      <c r="L469" t="str">
        <f t="shared" si="7"/>
        <v xml:space="preserve"> Evesham Township</v>
      </c>
    </row>
    <row r="470" spans="1:12" hidden="1" x14ac:dyDescent="0.2">
      <c r="A470">
        <v>34007604200</v>
      </c>
      <c r="B470" t="s">
        <v>279</v>
      </c>
      <c r="C470">
        <v>0.76990000000000003</v>
      </c>
      <c r="L470" t="e">
        <f t="shared" si="7"/>
        <v>#VALUE!</v>
      </c>
    </row>
    <row r="471" spans="1:12" hidden="1" x14ac:dyDescent="0.2">
      <c r="A471">
        <v>42017100207</v>
      </c>
      <c r="B471" t="s">
        <v>258</v>
      </c>
      <c r="C471">
        <v>0.76959999999999995</v>
      </c>
      <c r="L471" t="e">
        <f t="shared" si="7"/>
        <v>#VALUE!</v>
      </c>
    </row>
    <row r="472" spans="1:12" hidden="1" x14ac:dyDescent="0.2">
      <c r="A472">
        <v>42045401600</v>
      </c>
      <c r="B472" t="s">
        <v>229</v>
      </c>
      <c r="C472">
        <v>0.76870000000000005</v>
      </c>
      <c r="L472" t="e">
        <f t="shared" si="7"/>
        <v>#VALUE!</v>
      </c>
    </row>
    <row r="473" spans="1:12" hidden="1" x14ac:dyDescent="0.2">
      <c r="A473">
        <v>42101034400</v>
      </c>
      <c r="B473" t="s">
        <v>277</v>
      </c>
      <c r="C473">
        <v>0.76800000000000002</v>
      </c>
      <c r="D473" t="e">
        <f>VLOOKUP(A473,Philly_income!$A$2:$C$324,3,FALSE)</f>
        <v>#N/A</v>
      </c>
      <c r="L473" t="str">
        <f t="shared" si="7"/>
        <v xml:space="preserve"> Philadelphia</v>
      </c>
    </row>
    <row r="474" spans="1:12" hidden="1" x14ac:dyDescent="0.2">
      <c r="A474">
        <v>34005700800</v>
      </c>
      <c r="B474" t="s">
        <v>298</v>
      </c>
      <c r="C474">
        <v>0.76780000000000004</v>
      </c>
      <c r="L474" t="e">
        <f t="shared" si="7"/>
        <v>#VALUE!</v>
      </c>
    </row>
    <row r="475" spans="1:12" x14ac:dyDescent="0.2">
      <c r="A475">
        <v>42101031501</v>
      </c>
      <c r="B475" t="s">
        <v>275</v>
      </c>
      <c r="C475" s="7">
        <v>0.83879999999999999</v>
      </c>
      <c r="D475">
        <f>VLOOKUP(A475,Philly_income!$A$2:$C$324,3,FALSE)</f>
        <v>34956</v>
      </c>
      <c r="L475" t="str">
        <f t="shared" si="7"/>
        <v xml:space="preserve"> Philadelphia</v>
      </c>
    </row>
    <row r="476" spans="1:12" hidden="1" x14ac:dyDescent="0.2">
      <c r="A476">
        <v>34007603902</v>
      </c>
      <c r="B476" t="s">
        <v>324</v>
      </c>
      <c r="C476">
        <v>0.76680000000000004</v>
      </c>
      <c r="L476" t="e">
        <f t="shared" si="7"/>
        <v>#VALUE!</v>
      </c>
    </row>
    <row r="477" spans="1:12" hidden="1" x14ac:dyDescent="0.2">
      <c r="A477">
        <v>42045403901</v>
      </c>
      <c r="B477" t="s">
        <v>288</v>
      </c>
      <c r="C477">
        <v>0.76670000000000005</v>
      </c>
      <c r="L477" t="e">
        <f t="shared" si="7"/>
        <v>#VALUE!</v>
      </c>
    </row>
    <row r="478" spans="1:12" x14ac:dyDescent="0.2">
      <c r="A478">
        <v>42101033500</v>
      </c>
      <c r="B478" t="s">
        <v>155</v>
      </c>
      <c r="C478" s="7">
        <v>0.83599999999999997</v>
      </c>
      <c r="D478">
        <f>VLOOKUP(A478,Philly_income!$A$2:$C$324,3,FALSE)</f>
        <v>34966</v>
      </c>
      <c r="L478" t="str">
        <f t="shared" si="7"/>
        <v xml:space="preserve"> Philadelphia</v>
      </c>
    </row>
    <row r="479" spans="1:12" hidden="1" x14ac:dyDescent="0.2">
      <c r="A479">
        <v>34015500205</v>
      </c>
      <c r="B479" t="s">
        <v>271</v>
      </c>
      <c r="C479">
        <v>0.76600000000000001</v>
      </c>
      <c r="L479" t="str">
        <f t="shared" si="7"/>
        <v xml:space="preserve"> West Deptford</v>
      </c>
    </row>
    <row r="480" spans="1:12" hidden="1" x14ac:dyDescent="0.2">
      <c r="A480">
        <v>42091201706</v>
      </c>
      <c r="B480" t="s">
        <v>302</v>
      </c>
      <c r="C480">
        <v>0.76600000000000001</v>
      </c>
      <c r="L480" t="e">
        <f t="shared" si="7"/>
        <v>#VALUE!</v>
      </c>
    </row>
    <row r="481" spans="1:12" hidden="1" x14ac:dyDescent="0.2">
      <c r="A481">
        <v>34007603200</v>
      </c>
      <c r="B481" t="s">
        <v>290</v>
      </c>
      <c r="C481">
        <v>0.76570000000000005</v>
      </c>
      <c r="L481" t="e">
        <f t="shared" si="7"/>
        <v>#VALUE!</v>
      </c>
    </row>
    <row r="482" spans="1:12" hidden="1" x14ac:dyDescent="0.2">
      <c r="A482">
        <v>34007605800</v>
      </c>
      <c r="B482" t="s">
        <v>340</v>
      </c>
      <c r="C482">
        <v>0.76349999999999996</v>
      </c>
      <c r="L482" t="e">
        <f t="shared" si="7"/>
        <v>#VALUE!</v>
      </c>
    </row>
    <row r="483" spans="1:12" hidden="1" x14ac:dyDescent="0.2">
      <c r="A483">
        <v>42045409500</v>
      </c>
      <c r="B483" t="s">
        <v>343</v>
      </c>
      <c r="C483">
        <v>0.76329999999999998</v>
      </c>
      <c r="L483" t="str">
        <f t="shared" si="7"/>
        <v xml:space="preserve"> Havertown</v>
      </c>
    </row>
    <row r="484" spans="1:12" x14ac:dyDescent="0.2">
      <c r="A484">
        <v>42101000801</v>
      </c>
      <c r="B484" t="s">
        <v>235</v>
      </c>
      <c r="C484" s="7">
        <v>0.37969999999999998</v>
      </c>
      <c r="D484">
        <f>VLOOKUP(A484,Philly_income!$A$2:$C$324,3,FALSE)</f>
        <v>35020</v>
      </c>
      <c r="L484" t="str">
        <f t="shared" si="7"/>
        <v xml:space="preserve"> Philadelphia</v>
      </c>
    </row>
    <row r="485" spans="1:12" hidden="1" x14ac:dyDescent="0.2">
      <c r="A485">
        <v>34005700305</v>
      </c>
      <c r="B485" t="s">
        <v>292</v>
      </c>
      <c r="C485">
        <v>0.7631</v>
      </c>
      <c r="L485" t="e">
        <f t="shared" si="7"/>
        <v>#VALUE!</v>
      </c>
    </row>
    <row r="486" spans="1:12" hidden="1" x14ac:dyDescent="0.2">
      <c r="A486">
        <v>34005704007</v>
      </c>
      <c r="B486" t="s">
        <v>316</v>
      </c>
      <c r="C486">
        <v>0.76259999999999994</v>
      </c>
      <c r="L486" t="str">
        <f t="shared" si="7"/>
        <v xml:space="preserve"> Evesham Township</v>
      </c>
    </row>
    <row r="487" spans="1:12" hidden="1" x14ac:dyDescent="0.2">
      <c r="A487">
        <v>34007604300</v>
      </c>
      <c r="B487" t="s">
        <v>279</v>
      </c>
      <c r="C487">
        <v>0.7621</v>
      </c>
      <c r="L487" t="e">
        <f t="shared" si="7"/>
        <v>#VALUE!</v>
      </c>
    </row>
    <row r="488" spans="1:12" hidden="1" x14ac:dyDescent="0.2">
      <c r="A488">
        <v>34007605700</v>
      </c>
      <c r="B488" t="s">
        <v>285</v>
      </c>
      <c r="C488">
        <v>0.76119999999999999</v>
      </c>
      <c r="L488" t="e">
        <f t="shared" si="7"/>
        <v>#VALUE!</v>
      </c>
    </row>
    <row r="489" spans="1:12" hidden="1" x14ac:dyDescent="0.2">
      <c r="A489">
        <v>42045407803</v>
      </c>
      <c r="B489" t="s">
        <v>348</v>
      </c>
      <c r="C489">
        <v>0.76090000000000002</v>
      </c>
      <c r="L489" t="e">
        <f t="shared" si="7"/>
        <v>#VALUE!</v>
      </c>
    </row>
    <row r="490" spans="1:12" hidden="1" x14ac:dyDescent="0.2">
      <c r="A490">
        <v>42045409100</v>
      </c>
      <c r="B490" t="s">
        <v>336</v>
      </c>
      <c r="C490">
        <v>0.76080000000000003</v>
      </c>
      <c r="L490" t="e">
        <f t="shared" si="7"/>
        <v>#VALUE!</v>
      </c>
    </row>
    <row r="491" spans="1:12" x14ac:dyDescent="0.2">
      <c r="A491">
        <v>42101034801</v>
      </c>
      <c r="B491" t="s">
        <v>155</v>
      </c>
      <c r="C491" s="7">
        <v>0.8155</v>
      </c>
      <c r="D491">
        <f>VLOOKUP(A491,Philly_income!$A$2:$C$324,3,FALSE)</f>
        <v>35243</v>
      </c>
      <c r="L491" t="str">
        <f t="shared" si="7"/>
        <v xml:space="preserve"> Philadelphia</v>
      </c>
    </row>
    <row r="492" spans="1:12" hidden="1" x14ac:dyDescent="0.2">
      <c r="A492">
        <v>34007608205</v>
      </c>
      <c r="B492" t="s">
        <v>248</v>
      </c>
      <c r="C492">
        <v>0.75949999999999995</v>
      </c>
      <c r="L492" t="e">
        <f t="shared" si="7"/>
        <v>#VALUE!</v>
      </c>
    </row>
    <row r="493" spans="1:12" hidden="1" x14ac:dyDescent="0.2">
      <c r="A493">
        <v>42091204010</v>
      </c>
      <c r="B493" t="s">
        <v>318</v>
      </c>
      <c r="C493">
        <v>0.75870000000000004</v>
      </c>
      <c r="L493" t="e">
        <f t="shared" si="7"/>
        <v>#VALUE!</v>
      </c>
    </row>
    <row r="494" spans="1:12" x14ac:dyDescent="0.2">
      <c r="A494">
        <v>42101000300</v>
      </c>
      <c r="B494" t="s">
        <v>235</v>
      </c>
      <c r="C494" s="7">
        <v>0.57179999999999997</v>
      </c>
      <c r="D494">
        <f>VLOOKUP(A494,Philly_income!$A$2:$C$324,3,FALSE)</f>
        <v>35404</v>
      </c>
      <c r="L494" t="str">
        <f t="shared" si="7"/>
        <v xml:space="preserve"> Philadelphia</v>
      </c>
    </row>
    <row r="495" spans="1:12" hidden="1" x14ac:dyDescent="0.2">
      <c r="A495">
        <v>42101007900</v>
      </c>
      <c r="B495" t="s">
        <v>231</v>
      </c>
      <c r="C495">
        <v>0.75719999999999998</v>
      </c>
      <c r="D495" t="e">
        <f>VLOOKUP(A495,Philly_income!$A$2:$C$324,3,FALSE)</f>
        <v>#N/A</v>
      </c>
      <c r="L495" t="str">
        <f t="shared" si="7"/>
        <v xml:space="preserve"> Philadelphia</v>
      </c>
    </row>
    <row r="496" spans="1:12" hidden="1" x14ac:dyDescent="0.2">
      <c r="A496">
        <v>42101006300</v>
      </c>
      <c r="B496" t="s">
        <v>159</v>
      </c>
      <c r="C496">
        <v>0.75690000000000002</v>
      </c>
      <c r="D496" t="e">
        <f>VLOOKUP(A496,Philly_income!$A$2:$C$324,3,FALSE)</f>
        <v>#N/A</v>
      </c>
      <c r="L496" t="str">
        <f t="shared" si="7"/>
        <v xml:space="preserve"> Philadelphia</v>
      </c>
    </row>
    <row r="497" spans="1:12" hidden="1" x14ac:dyDescent="0.2">
      <c r="A497">
        <v>42045407700</v>
      </c>
      <c r="B497" t="s">
        <v>281</v>
      </c>
      <c r="C497">
        <v>0.75549999999999995</v>
      </c>
      <c r="L497" t="e">
        <f t="shared" si="7"/>
        <v>#VALUE!</v>
      </c>
    </row>
    <row r="498" spans="1:12" hidden="1" x14ac:dyDescent="0.2">
      <c r="A498">
        <v>42045410500</v>
      </c>
      <c r="B498" t="s">
        <v>237</v>
      </c>
      <c r="C498">
        <v>0.75539999999999996</v>
      </c>
      <c r="L498" t="e">
        <f t="shared" si="7"/>
        <v>#VALUE!</v>
      </c>
    </row>
    <row r="499" spans="1:12" hidden="1" x14ac:dyDescent="0.2">
      <c r="A499">
        <v>42091203104</v>
      </c>
      <c r="B499" t="s">
        <v>342</v>
      </c>
      <c r="C499">
        <v>0.75490000000000002</v>
      </c>
      <c r="L499" t="e">
        <f t="shared" si="7"/>
        <v>#VALUE!</v>
      </c>
    </row>
    <row r="500" spans="1:12" hidden="1" x14ac:dyDescent="0.2">
      <c r="A500">
        <v>42091204007</v>
      </c>
      <c r="B500" t="s">
        <v>257</v>
      </c>
      <c r="C500">
        <v>0.75390000000000001</v>
      </c>
      <c r="L500" t="e">
        <f t="shared" si="7"/>
        <v>#VALUE!</v>
      </c>
    </row>
    <row r="501" spans="1:12" hidden="1" x14ac:dyDescent="0.2">
      <c r="A501">
        <v>34005702807</v>
      </c>
      <c r="B501" t="s">
        <v>227</v>
      </c>
      <c r="C501">
        <v>0.75390000000000001</v>
      </c>
      <c r="L501" t="e">
        <f t="shared" si="7"/>
        <v>#VALUE!</v>
      </c>
    </row>
    <row r="502" spans="1:12" hidden="1" x14ac:dyDescent="0.2">
      <c r="A502">
        <v>42091201607</v>
      </c>
      <c r="B502" t="s">
        <v>326</v>
      </c>
      <c r="C502">
        <v>0.75309999999999999</v>
      </c>
      <c r="L502" t="e">
        <f t="shared" si="7"/>
        <v>#VALUE!</v>
      </c>
    </row>
    <row r="503" spans="1:12" hidden="1" x14ac:dyDescent="0.2">
      <c r="A503">
        <v>34007611600</v>
      </c>
      <c r="B503" t="s">
        <v>279</v>
      </c>
      <c r="C503">
        <v>0.753</v>
      </c>
      <c r="L503" t="e">
        <f t="shared" si="7"/>
        <v>#VALUE!</v>
      </c>
    </row>
    <row r="504" spans="1:12" hidden="1" x14ac:dyDescent="0.2">
      <c r="A504">
        <v>42045409300</v>
      </c>
      <c r="B504" t="s">
        <v>336</v>
      </c>
      <c r="C504">
        <v>0.75180000000000002</v>
      </c>
      <c r="L504" t="e">
        <f t="shared" si="7"/>
        <v>#VALUE!</v>
      </c>
    </row>
    <row r="505" spans="1:12" x14ac:dyDescent="0.2">
      <c r="A505">
        <v>42101003800</v>
      </c>
      <c r="B505" t="s">
        <v>294</v>
      </c>
      <c r="C505" s="7">
        <v>0.88339999999999996</v>
      </c>
      <c r="D505">
        <f>VLOOKUP(A505,Philly_income!$A$2:$C$324,3,FALSE)</f>
        <v>35523</v>
      </c>
      <c r="L505" t="str">
        <f t="shared" si="7"/>
        <v xml:space="preserve"> Philadelphia</v>
      </c>
    </row>
    <row r="506" spans="1:12" hidden="1" x14ac:dyDescent="0.2">
      <c r="A506">
        <v>42091203303</v>
      </c>
      <c r="B506" t="s">
        <v>314</v>
      </c>
      <c r="C506">
        <v>0.75060000000000004</v>
      </c>
      <c r="L506" t="e">
        <f t="shared" si="7"/>
        <v>#VALUE!</v>
      </c>
    </row>
    <row r="507" spans="1:12" hidden="1" x14ac:dyDescent="0.2">
      <c r="A507">
        <v>42101007800</v>
      </c>
      <c r="B507" t="s">
        <v>160</v>
      </c>
      <c r="C507">
        <v>0.74770000000000003</v>
      </c>
      <c r="D507" t="e">
        <f>VLOOKUP(A507,Philly_income!$A$2:$C$324,3,FALSE)</f>
        <v>#N/A</v>
      </c>
      <c r="L507" t="str">
        <f t="shared" si="7"/>
        <v xml:space="preserve"> Philadelphia</v>
      </c>
    </row>
    <row r="508" spans="1:12" hidden="1" x14ac:dyDescent="0.2">
      <c r="A508">
        <v>42091210100</v>
      </c>
      <c r="B508" t="s">
        <v>315</v>
      </c>
      <c r="C508">
        <v>0.74750000000000005</v>
      </c>
      <c r="L508" t="e">
        <f t="shared" si="7"/>
        <v>#VALUE!</v>
      </c>
    </row>
    <row r="509" spans="1:12" hidden="1" x14ac:dyDescent="0.2">
      <c r="A509">
        <v>34007603800</v>
      </c>
      <c r="B509" t="s">
        <v>324</v>
      </c>
      <c r="C509">
        <v>0.74729999999999996</v>
      </c>
      <c r="L509" t="e">
        <f t="shared" si="7"/>
        <v>#VALUE!</v>
      </c>
    </row>
    <row r="510" spans="1:12" hidden="1" x14ac:dyDescent="0.2">
      <c r="A510">
        <v>34007604400</v>
      </c>
      <c r="B510" t="s">
        <v>279</v>
      </c>
      <c r="C510">
        <v>0.74629999999999996</v>
      </c>
      <c r="L510" t="e">
        <f t="shared" si="7"/>
        <v>#VALUE!</v>
      </c>
    </row>
    <row r="511" spans="1:12" hidden="1" x14ac:dyDescent="0.2">
      <c r="A511">
        <v>42045408800</v>
      </c>
      <c r="B511" t="s">
        <v>245</v>
      </c>
      <c r="C511">
        <v>0.74609999999999999</v>
      </c>
      <c r="L511" t="e">
        <f t="shared" si="7"/>
        <v>#VALUE!</v>
      </c>
    </row>
    <row r="512" spans="1:12" hidden="1" x14ac:dyDescent="0.2">
      <c r="A512">
        <v>42091203106</v>
      </c>
      <c r="B512" t="s">
        <v>257</v>
      </c>
      <c r="C512">
        <v>0.74609999999999999</v>
      </c>
      <c r="L512" t="e">
        <f t="shared" si="7"/>
        <v>#VALUE!</v>
      </c>
    </row>
    <row r="513" spans="1:12" hidden="1" x14ac:dyDescent="0.2">
      <c r="A513">
        <v>42045407802</v>
      </c>
      <c r="B513" t="s">
        <v>348</v>
      </c>
      <c r="C513">
        <v>0.74509999999999998</v>
      </c>
      <c r="L513" t="e">
        <f t="shared" si="7"/>
        <v>#VALUE!</v>
      </c>
    </row>
    <row r="514" spans="1:12" x14ac:dyDescent="0.2">
      <c r="A514">
        <v>42101033600</v>
      </c>
      <c r="B514" t="s">
        <v>155</v>
      </c>
      <c r="C514" s="7">
        <v>0.80269999999999997</v>
      </c>
      <c r="D514">
        <f>VLOOKUP(A514,Philly_income!$A$2:$C$324,3,FALSE)</f>
        <v>35863</v>
      </c>
      <c r="L514" t="str">
        <f t="shared" si="7"/>
        <v xml:space="preserve"> Philadelphia</v>
      </c>
    </row>
    <row r="515" spans="1:12" hidden="1" x14ac:dyDescent="0.2">
      <c r="A515">
        <v>42091201705</v>
      </c>
      <c r="B515" t="s">
        <v>302</v>
      </c>
      <c r="C515">
        <v>0.74470000000000003</v>
      </c>
      <c r="L515" t="e">
        <f t="shared" ref="L515:L578" si="8">MID($B515, FIND(",",$B515)+1, FIND(",",$B515,FIND(",",$B515)+1) -1 -FIND(",",$B515))</f>
        <v>#VALUE!</v>
      </c>
    </row>
    <row r="516" spans="1:12" x14ac:dyDescent="0.2">
      <c r="A516">
        <v>42101038700</v>
      </c>
      <c r="B516" t="s">
        <v>158</v>
      </c>
      <c r="C516" s="7">
        <v>0.64090000000000003</v>
      </c>
      <c r="D516">
        <f>VLOOKUP(A516,Philly_income!$A$2:$C$324,3,FALSE)</f>
        <v>35981</v>
      </c>
      <c r="L516" t="str">
        <f t="shared" si="8"/>
        <v xml:space="preserve"> Philadelphia</v>
      </c>
    </row>
    <row r="517" spans="1:12" hidden="1" x14ac:dyDescent="0.2">
      <c r="A517">
        <v>42045401800</v>
      </c>
      <c r="B517" t="s">
        <v>229</v>
      </c>
      <c r="C517">
        <v>0.74329999999999996</v>
      </c>
      <c r="L517" t="e">
        <f t="shared" si="8"/>
        <v>#VALUE!</v>
      </c>
    </row>
    <row r="518" spans="1:12" hidden="1" x14ac:dyDescent="0.2">
      <c r="A518">
        <v>42091202401</v>
      </c>
      <c r="B518" t="s">
        <v>226</v>
      </c>
      <c r="C518">
        <v>0.74280000000000002</v>
      </c>
      <c r="L518" t="e">
        <f t="shared" si="8"/>
        <v>#VALUE!</v>
      </c>
    </row>
    <row r="519" spans="1:12" hidden="1" x14ac:dyDescent="0.2">
      <c r="A519">
        <v>34005700605</v>
      </c>
      <c r="B519" t="s">
        <v>306</v>
      </c>
      <c r="C519">
        <v>0.74219999999999997</v>
      </c>
      <c r="L519" t="e">
        <f t="shared" si="8"/>
        <v>#VALUE!</v>
      </c>
    </row>
    <row r="520" spans="1:12" hidden="1" x14ac:dyDescent="0.2">
      <c r="A520">
        <v>34005700603</v>
      </c>
      <c r="B520" t="s">
        <v>306</v>
      </c>
      <c r="C520">
        <v>0.74070000000000003</v>
      </c>
      <c r="L520" t="e">
        <f t="shared" si="8"/>
        <v>#VALUE!</v>
      </c>
    </row>
    <row r="521" spans="1:12" hidden="1" x14ac:dyDescent="0.2">
      <c r="A521">
        <v>34007603100</v>
      </c>
      <c r="B521" t="s">
        <v>276</v>
      </c>
      <c r="C521">
        <v>0.74029999999999996</v>
      </c>
      <c r="L521" t="e">
        <f t="shared" si="8"/>
        <v>#VALUE!</v>
      </c>
    </row>
    <row r="522" spans="1:12" hidden="1" x14ac:dyDescent="0.2">
      <c r="A522">
        <v>42045402200</v>
      </c>
      <c r="B522" t="s">
        <v>239</v>
      </c>
      <c r="C522">
        <v>0.74009999999999998</v>
      </c>
      <c r="L522" t="e">
        <f t="shared" si="8"/>
        <v>#VALUE!</v>
      </c>
    </row>
    <row r="523" spans="1:12" hidden="1" x14ac:dyDescent="0.2">
      <c r="A523">
        <v>42091203103</v>
      </c>
      <c r="B523" t="s">
        <v>342</v>
      </c>
      <c r="C523">
        <v>0.74009999999999998</v>
      </c>
      <c r="L523" t="e">
        <f t="shared" si="8"/>
        <v>#VALUE!</v>
      </c>
    </row>
    <row r="524" spans="1:12" hidden="1" x14ac:dyDescent="0.2">
      <c r="A524">
        <v>42101008701</v>
      </c>
      <c r="B524" t="s">
        <v>205</v>
      </c>
      <c r="C524">
        <v>0.73939999999999995</v>
      </c>
      <c r="D524" t="e">
        <f>VLOOKUP(A524,Philly_income!$A$2:$C$324,3,FALSE)</f>
        <v>#N/A</v>
      </c>
      <c r="L524" t="str">
        <f t="shared" si="8"/>
        <v xml:space="preserve"> Philadelphia</v>
      </c>
    </row>
    <row r="525" spans="1:12" hidden="1" x14ac:dyDescent="0.2">
      <c r="A525">
        <v>34015501003</v>
      </c>
      <c r="B525" t="s">
        <v>270</v>
      </c>
      <c r="C525">
        <v>0.73939999999999995</v>
      </c>
      <c r="L525" t="e">
        <f t="shared" si="8"/>
        <v>#VALUE!</v>
      </c>
    </row>
    <row r="526" spans="1:12" hidden="1" x14ac:dyDescent="0.2">
      <c r="A526">
        <v>42045408900</v>
      </c>
      <c r="B526" t="s">
        <v>336</v>
      </c>
      <c r="C526">
        <v>0.73929999999999996</v>
      </c>
      <c r="L526" t="e">
        <f t="shared" si="8"/>
        <v>#VALUE!</v>
      </c>
    </row>
    <row r="527" spans="1:12" hidden="1" x14ac:dyDescent="0.2">
      <c r="A527">
        <v>42101023700</v>
      </c>
      <c r="B527" t="s">
        <v>232</v>
      </c>
      <c r="C527">
        <v>0.73809999999999998</v>
      </c>
      <c r="D527" t="e">
        <f>VLOOKUP(A527,Philly_income!$A$2:$C$324,3,FALSE)</f>
        <v>#N/A</v>
      </c>
      <c r="L527" t="str">
        <f t="shared" si="8"/>
        <v xml:space="preserve"> Philadelphia</v>
      </c>
    </row>
    <row r="528" spans="1:12" x14ac:dyDescent="0.2">
      <c r="A528">
        <v>42101038800</v>
      </c>
      <c r="B528" t="s">
        <v>232</v>
      </c>
      <c r="C528" s="7">
        <v>0.63380000000000003</v>
      </c>
      <c r="D528">
        <f>VLOOKUP(A528,Philly_income!$A$2:$C$324,3,FALSE)</f>
        <v>35988</v>
      </c>
      <c r="L528" t="str">
        <f t="shared" si="8"/>
        <v xml:space="preserve"> Philadelphia</v>
      </c>
    </row>
    <row r="529" spans="1:12" hidden="1" x14ac:dyDescent="0.2">
      <c r="A529">
        <v>42101008601</v>
      </c>
      <c r="B529" t="s">
        <v>234</v>
      </c>
      <c r="C529">
        <v>0.73619999999999997</v>
      </c>
      <c r="D529" t="e">
        <f>VLOOKUP(A529,Philly_income!$A$2:$C$324,3,FALSE)</f>
        <v>#N/A</v>
      </c>
      <c r="L529" t="str">
        <f t="shared" si="8"/>
        <v xml:space="preserve"> Philadelphia</v>
      </c>
    </row>
    <row r="530" spans="1:12" hidden="1" x14ac:dyDescent="0.2">
      <c r="A530">
        <v>42091205300</v>
      </c>
      <c r="B530" t="s">
        <v>245</v>
      </c>
      <c r="C530">
        <v>0.73499999999999999</v>
      </c>
      <c r="L530" t="e">
        <f t="shared" si="8"/>
        <v>#VALUE!</v>
      </c>
    </row>
    <row r="531" spans="1:12" hidden="1" x14ac:dyDescent="0.2">
      <c r="A531">
        <v>34005700303</v>
      </c>
      <c r="B531" t="s">
        <v>292</v>
      </c>
      <c r="C531">
        <v>0.73409999999999997</v>
      </c>
      <c r="L531" t="e">
        <f t="shared" si="8"/>
        <v>#VALUE!</v>
      </c>
    </row>
    <row r="532" spans="1:12" hidden="1" x14ac:dyDescent="0.2">
      <c r="A532">
        <v>42045408500</v>
      </c>
      <c r="B532" t="s">
        <v>336</v>
      </c>
      <c r="C532">
        <v>0.73360000000000003</v>
      </c>
      <c r="L532" t="e">
        <f t="shared" si="8"/>
        <v>#VALUE!</v>
      </c>
    </row>
    <row r="533" spans="1:12" hidden="1" x14ac:dyDescent="0.2">
      <c r="A533">
        <v>42101001800</v>
      </c>
      <c r="B533" t="s">
        <v>233</v>
      </c>
      <c r="C533">
        <v>0.73340000000000005</v>
      </c>
      <c r="D533" t="e">
        <f>VLOOKUP(A533,Philly_income!$A$2:$C$324,3,FALSE)</f>
        <v>#N/A</v>
      </c>
      <c r="L533" t="str">
        <f t="shared" si="8"/>
        <v xml:space="preserve"> Philadelphia</v>
      </c>
    </row>
    <row r="534" spans="1:12" x14ac:dyDescent="0.2">
      <c r="A534">
        <v>42101033300</v>
      </c>
      <c r="B534" t="s">
        <v>155</v>
      </c>
      <c r="C534" s="7">
        <v>0.80979999999999996</v>
      </c>
      <c r="D534">
        <f>VLOOKUP(A534,Philly_income!$A$2:$C$324,3,FALSE)</f>
        <v>36305</v>
      </c>
      <c r="L534" t="str">
        <f t="shared" si="8"/>
        <v xml:space="preserve"> Philadelphia</v>
      </c>
    </row>
    <row r="535" spans="1:12" x14ac:dyDescent="0.2">
      <c r="A535">
        <v>42101031600</v>
      </c>
      <c r="B535" t="s">
        <v>155</v>
      </c>
      <c r="C535" s="7">
        <v>0.85419999999999996</v>
      </c>
      <c r="D535">
        <f>VLOOKUP(A535,Philly_income!$A$2:$C$324,3,FALSE)</f>
        <v>36385</v>
      </c>
      <c r="L535" t="str">
        <f t="shared" si="8"/>
        <v xml:space="preserve"> Philadelphia</v>
      </c>
    </row>
    <row r="536" spans="1:12" hidden="1" x14ac:dyDescent="0.2">
      <c r="A536">
        <v>34007606600</v>
      </c>
      <c r="B536" t="s">
        <v>321</v>
      </c>
      <c r="C536">
        <v>0.73</v>
      </c>
      <c r="L536" t="e">
        <f t="shared" si="8"/>
        <v>#VALUE!</v>
      </c>
    </row>
    <row r="537" spans="1:12" hidden="1" x14ac:dyDescent="0.2">
      <c r="A537">
        <v>42101035602</v>
      </c>
      <c r="B537" t="s">
        <v>277</v>
      </c>
      <c r="C537">
        <v>0.72909999999999997</v>
      </c>
      <c r="D537" t="e">
        <f>VLOOKUP(A537,Philly_income!$A$2:$C$324,3,FALSE)</f>
        <v>#N/A</v>
      </c>
      <c r="L537" t="str">
        <f t="shared" si="8"/>
        <v xml:space="preserve"> Philadelphia</v>
      </c>
    </row>
    <row r="538" spans="1:12" x14ac:dyDescent="0.2">
      <c r="A538">
        <v>42101034501</v>
      </c>
      <c r="B538" t="s">
        <v>155</v>
      </c>
      <c r="C538" s="7">
        <v>0.77049999999999996</v>
      </c>
      <c r="D538">
        <f>VLOOKUP(A538,Philly_income!$A$2:$C$324,3,FALSE)</f>
        <v>36472</v>
      </c>
      <c r="L538" t="str">
        <f t="shared" si="8"/>
        <v xml:space="preserve"> Philadelphia</v>
      </c>
    </row>
    <row r="539" spans="1:12" hidden="1" x14ac:dyDescent="0.2">
      <c r="A539">
        <v>42045400900</v>
      </c>
      <c r="B539" t="s">
        <v>265</v>
      </c>
      <c r="C539">
        <v>0.72840000000000005</v>
      </c>
      <c r="L539" t="str">
        <f t="shared" si="8"/>
        <v xml:space="preserve"> Upper Darby</v>
      </c>
    </row>
    <row r="540" spans="1:12" hidden="1" x14ac:dyDescent="0.2">
      <c r="A540">
        <v>42091210300</v>
      </c>
      <c r="B540" t="s">
        <v>351</v>
      </c>
      <c r="C540">
        <v>0.72650000000000003</v>
      </c>
      <c r="L540" t="e">
        <f t="shared" si="8"/>
        <v>#VALUE!</v>
      </c>
    </row>
    <row r="541" spans="1:12" hidden="1" x14ac:dyDescent="0.2">
      <c r="A541">
        <v>34005700102</v>
      </c>
      <c r="B541" t="s">
        <v>236</v>
      </c>
      <c r="C541">
        <v>0.72550000000000003</v>
      </c>
      <c r="L541" t="e">
        <f t="shared" si="8"/>
        <v>#VALUE!</v>
      </c>
    </row>
    <row r="542" spans="1:12" hidden="1" x14ac:dyDescent="0.2">
      <c r="A542">
        <v>34007603400</v>
      </c>
      <c r="B542" t="s">
        <v>333</v>
      </c>
      <c r="C542">
        <v>0.71870000000000001</v>
      </c>
      <c r="L542" t="str">
        <f t="shared" si="8"/>
        <v xml:space="preserve"> Cherry Hill</v>
      </c>
    </row>
    <row r="543" spans="1:12" hidden="1" x14ac:dyDescent="0.2">
      <c r="A543">
        <v>42091210400</v>
      </c>
      <c r="B543" t="s">
        <v>302</v>
      </c>
      <c r="C543">
        <v>0.71730000000000005</v>
      </c>
      <c r="L543" t="e">
        <f t="shared" si="8"/>
        <v>#VALUE!</v>
      </c>
    </row>
    <row r="544" spans="1:12" hidden="1" x14ac:dyDescent="0.2">
      <c r="A544">
        <v>42101012201</v>
      </c>
      <c r="B544" t="s">
        <v>153</v>
      </c>
      <c r="C544">
        <v>0.71540000000000004</v>
      </c>
      <c r="D544" t="e">
        <f>VLOOKUP(A544,Philly_income!$A$2:$C$324,3,FALSE)</f>
        <v>#N/A</v>
      </c>
      <c r="L544" t="str">
        <f t="shared" si="8"/>
        <v xml:space="preserve"> Philadelphia</v>
      </c>
    </row>
    <row r="545" spans="1:12" hidden="1" x14ac:dyDescent="0.2">
      <c r="A545">
        <v>42091201407</v>
      </c>
      <c r="B545" t="s">
        <v>315</v>
      </c>
      <c r="C545">
        <v>0.71530000000000005</v>
      </c>
      <c r="L545" t="e">
        <f t="shared" si="8"/>
        <v>#VALUE!</v>
      </c>
    </row>
    <row r="546" spans="1:12" hidden="1" x14ac:dyDescent="0.2">
      <c r="A546">
        <v>34005704005</v>
      </c>
      <c r="B546" t="s">
        <v>316</v>
      </c>
      <c r="C546">
        <v>0.71519999999999995</v>
      </c>
      <c r="L546" t="str">
        <f t="shared" si="8"/>
        <v xml:space="preserve"> Evesham Township</v>
      </c>
    </row>
    <row r="547" spans="1:12" hidden="1" x14ac:dyDescent="0.2">
      <c r="A547">
        <v>42101036000</v>
      </c>
      <c r="B547" t="s">
        <v>155</v>
      </c>
      <c r="C547">
        <v>0.71509999999999996</v>
      </c>
      <c r="D547" t="e">
        <f>VLOOKUP(A547,Philly_income!$A$2:$C$324,3,FALSE)</f>
        <v>#N/A</v>
      </c>
      <c r="L547" t="str">
        <f t="shared" si="8"/>
        <v xml:space="preserve"> Philadelphia</v>
      </c>
    </row>
    <row r="548" spans="1:12" hidden="1" x14ac:dyDescent="0.2">
      <c r="A548">
        <v>34005700306</v>
      </c>
      <c r="B548" t="s">
        <v>292</v>
      </c>
      <c r="C548">
        <v>0.71499999999999997</v>
      </c>
      <c r="L548" t="e">
        <f t="shared" si="8"/>
        <v>#VALUE!</v>
      </c>
    </row>
    <row r="549" spans="1:12" hidden="1" x14ac:dyDescent="0.2">
      <c r="A549">
        <v>42091205501</v>
      </c>
      <c r="B549" t="s">
        <v>245</v>
      </c>
      <c r="C549">
        <v>0.71399999999999997</v>
      </c>
      <c r="L549" t="e">
        <f t="shared" si="8"/>
        <v>#VALUE!</v>
      </c>
    </row>
    <row r="550" spans="1:12" hidden="1" x14ac:dyDescent="0.2">
      <c r="A550">
        <v>42101010600</v>
      </c>
      <c r="B550" t="s">
        <v>199</v>
      </c>
      <c r="C550">
        <v>0.71350000000000002</v>
      </c>
      <c r="D550" t="e">
        <f>VLOOKUP(A550,Philly_income!$A$2:$C$324,3,FALSE)</f>
        <v>#N/A</v>
      </c>
      <c r="L550" t="str">
        <f t="shared" si="8"/>
        <v xml:space="preserve"> Philadelphia</v>
      </c>
    </row>
    <row r="551" spans="1:12" hidden="1" x14ac:dyDescent="0.2">
      <c r="A551">
        <v>34007603301</v>
      </c>
      <c r="B551" t="s">
        <v>290</v>
      </c>
      <c r="C551">
        <v>0.71330000000000005</v>
      </c>
      <c r="L551" t="e">
        <f t="shared" si="8"/>
        <v>#VALUE!</v>
      </c>
    </row>
    <row r="552" spans="1:12" hidden="1" x14ac:dyDescent="0.2">
      <c r="A552">
        <v>42091200104</v>
      </c>
      <c r="B552" t="s">
        <v>274</v>
      </c>
      <c r="C552">
        <v>0.71319999999999995</v>
      </c>
      <c r="L552" t="e">
        <f t="shared" si="8"/>
        <v>#VALUE!</v>
      </c>
    </row>
    <row r="553" spans="1:12" hidden="1" x14ac:dyDescent="0.2">
      <c r="A553">
        <v>42045409400</v>
      </c>
      <c r="B553" t="s">
        <v>336</v>
      </c>
      <c r="C553">
        <v>0.71299999999999997</v>
      </c>
      <c r="L553" t="e">
        <f t="shared" si="8"/>
        <v>#VALUE!</v>
      </c>
    </row>
    <row r="554" spans="1:12" x14ac:dyDescent="0.2">
      <c r="A554">
        <v>42101035302</v>
      </c>
      <c r="B554" t="s">
        <v>304</v>
      </c>
      <c r="C554" s="7">
        <v>0.86060000000000003</v>
      </c>
      <c r="D554">
        <f>VLOOKUP(A554,Philly_income!$A$2:$C$324,3,FALSE)</f>
        <v>36480</v>
      </c>
      <c r="L554" t="str">
        <f t="shared" si="8"/>
        <v xml:space="preserve"> Philadelphia</v>
      </c>
    </row>
    <row r="555" spans="1:12" hidden="1" x14ac:dyDescent="0.2">
      <c r="A555">
        <v>34005701002</v>
      </c>
      <c r="B555" t="s">
        <v>241</v>
      </c>
      <c r="C555">
        <v>0.70909999999999995</v>
      </c>
      <c r="L555" t="e">
        <f t="shared" si="8"/>
        <v>#VALUE!</v>
      </c>
    </row>
    <row r="556" spans="1:12" hidden="1" x14ac:dyDescent="0.2">
      <c r="A556">
        <v>42045409000</v>
      </c>
      <c r="B556" t="s">
        <v>343</v>
      </c>
      <c r="C556">
        <v>0.7077</v>
      </c>
      <c r="L556" t="str">
        <f t="shared" si="8"/>
        <v xml:space="preserve"> Havertown</v>
      </c>
    </row>
    <row r="557" spans="1:12" hidden="1" x14ac:dyDescent="0.2">
      <c r="A557">
        <v>42091200105</v>
      </c>
      <c r="B557" t="s">
        <v>274</v>
      </c>
      <c r="C557">
        <v>0.70679999999999998</v>
      </c>
      <c r="L557" t="e">
        <f t="shared" si="8"/>
        <v>#VALUE!</v>
      </c>
    </row>
    <row r="558" spans="1:12" hidden="1" x14ac:dyDescent="0.2">
      <c r="A558">
        <v>42045400801</v>
      </c>
      <c r="B558" t="s">
        <v>237</v>
      </c>
      <c r="C558">
        <v>0.70569999999999999</v>
      </c>
      <c r="L558" t="e">
        <f t="shared" si="8"/>
        <v>#VALUE!</v>
      </c>
    </row>
    <row r="559" spans="1:12" hidden="1" x14ac:dyDescent="0.2">
      <c r="A559">
        <v>42045408600</v>
      </c>
      <c r="B559" t="s">
        <v>336</v>
      </c>
      <c r="C559">
        <v>0.70540000000000003</v>
      </c>
      <c r="L559" t="e">
        <f t="shared" si="8"/>
        <v>#VALUE!</v>
      </c>
    </row>
    <row r="560" spans="1:12" x14ac:dyDescent="0.2">
      <c r="A560">
        <v>42101033101</v>
      </c>
      <c r="B560" t="s">
        <v>154</v>
      </c>
      <c r="C560" s="7">
        <v>0.873</v>
      </c>
      <c r="D560">
        <f>VLOOKUP(A560,Philly_income!$A$2:$C$324,3,FALSE)</f>
        <v>36509</v>
      </c>
      <c r="L560" t="str">
        <f t="shared" si="8"/>
        <v xml:space="preserve"> Philadelphia</v>
      </c>
    </row>
    <row r="561" spans="1:12" hidden="1" x14ac:dyDescent="0.2">
      <c r="A561">
        <v>42091202202</v>
      </c>
      <c r="B561" t="s">
        <v>274</v>
      </c>
      <c r="C561">
        <v>0.70420000000000005</v>
      </c>
      <c r="L561" t="e">
        <f t="shared" si="8"/>
        <v>#VALUE!</v>
      </c>
    </row>
    <row r="562" spans="1:12" hidden="1" x14ac:dyDescent="0.2">
      <c r="A562">
        <v>34005704008</v>
      </c>
      <c r="B562" t="s">
        <v>355</v>
      </c>
      <c r="C562">
        <v>0.70320000000000005</v>
      </c>
      <c r="L562" t="e">
        <f t="shared" si="8"/>
        <v>#VALUE!</v>
      </c>
    </row>
    <row r="563" spans="1:12" hidden="1" x14ac:dyDescent="0.2">
      <c r="A563">
        <v>34007603601</v>
      </c>
      <c r="B563" t="s">
        <v>323</v>
      </c>
      <c r="C563">
        <v>0.70230000000000004</v>
      </c>
      <c r="L563" t="str">
        <f t="shared" si="8"/>
        <v xml:space="preserve"> Cherry Hill</v>
      </c>
    </row>
    <row r="564" spans="1:12" hidden="1" x14ac:dyDescent="0.2">
      <c r="A564">
        <v>42091202603</v>
      </c>
      <c r="B564" t="s">
        <v>302</v>
      </c>
      <c r="C564">
        <v>0.70209999999999995</v>
      </c>
      <c r="L564" t="e">
        <f t="shared" si="8"/>
        <v>#VALUE!</v>
      </c>
    </row>
    <row r="565" spans="1:12" hidden="1" x14ac:dyDescent="0.2">
      <c r="A565">
        <v>34005700408</v>
      </c>
      <c r="B565" t="s">
        <v>240</v>
      </c>
      <c r="C565">
        <v>0.6996</v>
      </c>
      <c r="L565" t="e">
        <f t="shared" si="8"/>
        <v>#VALUE!</v>
      </c>
    </row>
    <row r="566" spans="1:12" hidden="1" x14ac:dyDescent="0.2">
      <c r="A566">
        <v>34007603303</v>
      </c>
      <c r="B566" t="s">
        <v>305</v>
      </c>
      <c r="C566">
        <v>0.69899999999999995</v>
      </c>
      <c r="L566" t="str">
        <f t="shared" si="8"/>
        <v xml:space="preserve"> Cherry Hill</v>
      </c>
    </row>
    <row r="567" spans="1:12" hidden="1" x14ac:dyDescent="0.2">
      <c r="A567">
        <v>42101011700</v>
      </c>
      <c r="B567" t="s">
        <v>160</v>
      </c>
      <c r="C567">
        <v>0.69889999999999997</v>
      </c>
      <c r="D567" t="e">
        <f>VLOOKUP(A567,Philly_income!$A$2:$C$324,3,FALSE)</f>
        <v>#N/A</v>
      </c>
      <c r="L567" t="str">
        <f t="shared" si="8"/>
        <v xml:space="preserve"> Philadelphia</v>
      </c>
    </row>
    <row r="568" spans="1:12" hidden="1" x14ac:dyDescent="0.2">
      <c r="A568">
        <v>34005704013</v>
      </c>
      <c r="B568" t="s">
        <v>338</v>
      </c>
      <c r="C568">
        <v>0.69740000000000002</v>
      </c>
      <c r="L568" t="str">
        <f t="shared" si="8"/>
        <v xml:space="preserve"> Evesham Township</v>
      </c>
    </row>
    <row r="569" spans="1:12" hidden="1" x14ac:dyDescent="0.2">
      <c r="A569">
        <v>42091202402</v>
      </c>
      <c r="B569" t="s">
        <v>308</v>
      </c>
      <c r="C569">
        <v>0.69630000000000003</v>
      </c>
      <c r="L569" t="e">
        <f t="shared" si="8"/>
        <v>#VALUE!</v>
      </c>
    </row>
    <row r="570" spans="1:12" hidden="1" x14ac:dyDescent="0.2">
      <c r="A570">
        <v>42101001500</v>
      </c>
      <c r="B570" t="s">
        <v>156</v>
      </c>
      <c r="C570">
        <v>0.69620000000000004</v>
      </c>
      <c r="D570" t="e">
        <f>VLOOKUP(A570,Philly_income!$A$2:$C$324,3,FALSE)</f>
        <v>#N/A</v>
      </c>
      <c r="L570" t="str">
        <f t="shared" si="8"/>
        <v xml:space="preserve"> Philadelphia</v>
      </c>
    </row>
    <row r="571" spans="1:12" hidden="1" x14ac:dyDescent="0.2">
      <c r="A571">
        <v>34005700407</v>
      </c>
      <c r="B571" t="s">
        <v>240</v>
      </c>
      <c r="C571">
        <v>0.69579999999999997</v>
      </c>
      <c r="L571" t="e">
        <f t="shared" si="8"/>
        <v>#VALUE!</v>
      </c>
    </row>
    <row r="572" spans="1:12" hidden="1" x14ac:dyDescent="0.2">
      <c r="A572">
        <v>42091201902</v>
      </c>
      <c r="B572" t="s">
        <v>226</v>
      </c>
      <c r="C572">
        <v>0.69540000000000002</v>
      </c>
      <c r="L572" t="e">
        <f t="shared" si="8"/>
        <v>#VALUE!</v>
      </c>
    </row>
    <row r="573" spans="1:12" x14ac:dyDescent="0.2">
      <c r="A573">
        <v>42101034803</v>
      </c>
      <c r="B573" t="s">
        <v>155</v>
      </c>
      <c r="C573" s="7">
        <v>0.85440000000000005</v>
      </c>
      <c r="D573">
        <f>VLOOKUP(A573,Philly_income!$A$2:$C$324,3,FALSE)</f>
        <v>36807</v>
      </c>
      <c r="L573" t="str">
        <f t="shared" si="8"/>
        <v xml:space="preserve"> Philadelphia</v>
      </c>
    </row>
    <row r="574" spans="1:12" hidden="1" x14ac:dyDescent="0.2">
      <c r="A574">
        <v>34005700602</v>
      </c>
      <c r="B574" t="s">
        <v>269</v>
      </c>
      <c r="C574">
        <v>0.69350000000000001</v>
      </c>
      <c r="L574" t="e">
        <f t="shared" si="8"/>
        <v>#VALUE!</v>
      </c>
    </row>
    <row r="575" spans="1:12" hidden="1" x14ac:dyDescent="0.2">
      <c r="A575">
        <v>34007607502</v>
      </c>
      <c r="B575" t="s">
        <v>295</v>
      </c>
      <c r="C575">
        <v>0.69259999999999999</v>
      </c>
      <c r="L575" t="str">
        <f t="shared" si="8"/>
        <v xml:space="preserve"> Voorhees Township</v>
      </c>
    </row>
    <row r="576" spans="1:12" hidden="1" x14ac:dyDescent="0.2">
      <c r="A576">
        <v>42101000401</v>
      </c>
      <c r="B576" t="s">
        <v>235</v>
      </c>
      <c r="C576">
        <v>0.69259999999999999</v>
      </c>
      <c r="D576" t="e">
        <f>VLOOKUP(A576,Philly_income!$A$2:$C$324,3,FALSE)</f>
        <v>#N/A</v>
      </c>
      <c r="L576" t="str">
        <f t="shared" si="8"/>
        <v xml:space="preserve"> Philadelphia</v>
      </c>
    </row>
    <row r="577" spans="1:12" hidden="1" x14ac:dyDescent="0.2">
      <c r="A577">
        <v>42091202500</v>
      </c>
      <c r="B577" t="s">
        <v>274</v>
      </c>
      <c r="C577">
        <v>0.69199999999999995</v>
      </c>
      <c r="L577" t="e">
        <f t="shared" si="8"/>
        <v>#VALUE!</v>
      </c>
    </row>
    <row r="578" spans="1:12" hidden="1" x14ac:dyDescent="0.2">
      <c r="A578">
        <v>42091202201</v>
      </c>
      <c r="B578" t="s">
        <v>274</v>
      </c>
      <c r="C578">
        <v>0.69069999999999998</v>
      </c>
      <c r="L578" t="e">
        <f t="shared" si="8"/>
        <v>#VALUE!</v>
      </c>
    </row>
    <row r="579" spans="1:12" hidden="1" x14ac:dyDescent="0.2">
      <c r="A579">
        <v>34005702906</v>
      </c>
      <c r="B579" t="s">
        <v>328</v>
      </c>
      <c r="C579">
        <v>0.68979999999999997</v>
      </c>
      <c r="L579" t="str">
        <f t="shared" ref="L579:L642" si="9">MID($B579, FIND(",",$B579)+1, FIND(",",$B579,FIND(",",$B579)+1) -1 -FIND(",",$B579))</f>
        <v xml:space="preserve"> Mount Laurel</v>
      </c>
    </row>
    <row r="580" spans="1:12" hidden="1" x14ac:dyDescent="0.2">
      <c r="A580">
        <v>42045401301</v>
      </c>
      <c r="B580" t="s">
        <v>265</v>
      </c>
      <c r="C580">
        <v>0.68869999999999998</v>
      </c>
      <c r="L580" t="str">
        <f t="shared" si="9"/>
        <v xml:space="preserve"> Upper Darby</v>
      </c>
    </row>
    <row r="581" spans="1:12" hidden="1" x14ac:dyDescent="0.2">
      <c r="A581">
        <v>34007603505</v>
      </c>
      <c r="B581" t="s">
        <v>323</v>
      </c>
      <c r="C581">
        <v>0.68630000000000002</v>
      </c>
      <c r="L581" t="str">
        <f t="shared" si="9"/>
        <v xml:space="preserve"> Cherry Hill</v>
      </c>
    </row>
    <row r="582" spans="1:12" hidden="1" x14ac:dyDescent="0.2">
      <c r="A582">
        <v>42101008702</v>
      </c>
      <c r="B582" t="s">
        <v>160</v>
      </c>
      <c r="C582">
        <v>0.68610000000000004</v>
      </c>
      <c r="D582" t="e">
        <f>VLOOKUP(A582,Philly_income!$A$2:$C$324,3,FALSE)</f>
        <v>#N/A</v>
      </c>
      <c r="L582" t="str">
        <f t="shared" si="9"/>
        <v xml:space="preserve"> Philadelphia</v>
      </c>
    </row>
    <row r="583" spans="1:12" hidden="1" x14ac:dyDescent="0.2">
      <c r="A583">
        <v>34005702909</v>
      </c>
      <c r="B583" t="s">
        <v>325</v>
      </c>
      <c r="C583">
        <v>0.68279999999999996</v>
      </c>
      <c r="L583" t="e">
        <f t="shared" si="9"/>
        <v>#VALUE!</v>
      </c>
    </row>
    <row r="584" spans="1:12" hidden="1" x14ac:dyDescent="0.2">
      <c r="A584">
        <v>34007603901</v>
      </c>
      <c r="B584" t="s">
        <v>321</v>
      </c>
      <c r="C584">
        <v>0.6825</v>
      </c>
      <c r="L584" t="e">
        <f t="shared" si="9"/>
        <v>#VALUE!</v>
      </c>
    </row>
    <row r="585" spans="1:12" hidden="1" x14ac:dyDescent="0.2">
      <c r="A585">
        <v>42091210200</v>
      </c>
      <c r="B585" t="s">
        <v>315</v>
      </c>
      <c r="C585">
        <v>0.68169999999999997</v>
      </c>
      <c r="L585" t="e">
        <f t="shared" si="9"/>
        <v>#VALUE!</v>
      </c>
    </row>
    <row r="586" spans="1:12" hidden="1" x14ac:dyDescent="0.2">
      <c r="A586">
        <v>34007610600</v>
      </c>
      <c r="B586" t="s">
        <v>228</v>
      </c>
      <c r="C586">
        <v>0.68149999999999999</v>
      </c>
      <c r="L586" t="e">
        <f t="shared" si="9"/>
        <v>#VALUE!</v>
      </c>
    </row>
    <row r="587" spans="1:12" hidden="1" x14ac:dyDescent="0.2">
      <c r="A587">
        <v>34007605900</v>
      </c>
      <c r="B587" t="s">
        <v>340</v>
      </c>
      <c r="C587">
        <v>0.68030000000000002</v>
      </c>
      <c r="L587" t="e">
        <f t="shared" si="9"/>
        <v>#VALUE!</v>
      </c>
    </row>
    <row r="588" spans="1:12" hidden="1" x14ac:dyDescent="0.2">
      <c r="A588">
        <v>34005702808</v>
      </c>
      <c r="B588" t="s">
        <v>227</v>
      </c>
      <c r="C588">
        <v>0.68020000000000003</v>
      </c>
      <c r="L588" t="e">
        <f t="shared" si="9"/>
        <v>#VALUE!</v>
      </c>
    </row>
    <row r="589" spans="1:12" hidden="1" x14ac:dyDescent="0.2">
      <c r="A589">
        <v>34005702810</v>
      </c>
      <c r="B589" t="s">
        <v>227</v>
      </c>
      <c r="C589">
        <v>0.67900000000000005</v>
      </c>
      <c r="L589" t="e">
        <f t="shared" si="9"/>
        <v>#VALUE!</v>
      </c>
    </row>
    <row r="590" spans="1:12" hidden="1" x14ac:dyDescent="0.2">
      <c r="A590">
        <v>42045408700</v>
      </c>
      <c r="B590" t="s">
        <v>336</v>
      </c>
      <c r="C590">
        <v>0.67879999999999996</v>
      </c>
      <c r="L590" t="e">
        <f t="shared" si="9"/>
        <v>#VALUE!</v>
      </c>
    </row>
    <row r="591" spans="1:12" hidden="1" x14ac:dyDescent="0.2">
      <c r="A591">
        <v>34005704014</v>
      </c>
      <c r="B591" t="s">
        <v>355</v>
      </c>
      <c r="C591">
        <v>0.6774</v>
      </c>
      <c r="L591" t="e">
        <f t="shared" si="9"/>
        <v>#VALUE!</v>
      </c>
    </row>
    <row r="592" spans="1:12" hidden="1" x14ac:dyDescent="0.2">
      <c r="A592">
        <v>34007607507</v>
      </c>
      <c r="B592" t="s">
        <v>295</v>
      </c>
      <c r="C592">
        <v>0.6774</v>
      </c>
      <c r="L592" t="str">
        <f t="shared" si="9"/>
        <v xml:space="preserve"> Voorhees Township</v>
      </c>
    </row>
    <row r="593" spans="1:12" hidden="1" x14ac:dyDescent="0.2">
      <c r="A593">
        <v>34005700200</v>
      </c>
      <c r="B593" t="s">
        <v>341</v>
      </c>
      <c r="C593">
        <v>0.6774</v>
      </c>
      <c r="L593" t="e">
        <f t="shared" si="9"/>
        <v>#VALUE!</v>
      </c>
    </row>
    <row r="594" spans="1:12" hidden="1" x14ac:dyDescent="0.2">
      <c r="A594">
        <v>42091201901</v>
      </c>
      <c r="B594" t="s">
        <v>346</v>
      </c>
      <c r="C594">
        <v>0.67620000000000002</v>
      </c>
      <c r="L594" t="e">
        <f t="shared" si="9"/>
        <v>#VALUE!</v>
      </c>
    </row>
    <row r="595" spans="1:12" x14ac:dyDescent="0.2">
      <c r="A595">
        <v>42101021200</v>
      </c>
      <c r="B595" t="s">
        <v>158</v>
      </c>
      <c r="C595" s="7">
        <v>0.88580000000000003</v>
      </c>
      <c r="D595">
        <f>VLOOKUP(A595,Philly_income!$A$2:$C$324,3,FALSE)</f>
        <v>36850</v>
      </c>
      <c r="L595" t="str">
        <f t="shared" si="9"/>
        <v xml:space="preserve"> Philadelphia</v>
      </c>
    </row>
    <row r="596" spans="1:12" x14ac:dyDescent="0.2">
      <c r="A596">
        <v>42101033702</v>
      </c>
      <c r="B596" t="s">
        <v>155</v>
      </c>
      <c r="C596" s="7">
        <v>0.76739999999999997</v>
      </c>
      <c r="D596">
        <f>VLOOKUP(A596,Philly_income!$A$2:$C$324,3,FALSE)</f>
        <v>36886</v>
      </c>
      <c r="L596" t="str">
        <f t="shared" si="9"/>
        <v xml:space="preserve"> Philadelphia</v>
      </c>
    </row>
    <row r="597" spans="1:12" hidden="1" x14ac:dyDescent="0.2">
      <c r="A597">
        <v>42091200310</v>
      </c>
      <c r="B597" t="s">
        <v>356</v>
      </c>
      <c r="C597">
        <v>0.6724</v>
      </c>
      <c r="L597" t="str">
        <f t="shared" si="9"/>
        <v xml:space="preserve"> Willow Grove</v>
      </c>
    </row>
    <row r="598" spans="1:12" hidden="1" x14ac:dyDescent="0.2">
      <c r="A598">
        <v>34005704011</v>
      </c>
      <c r="B598" t="s">
        <v>316</v>
      </c>
      <c r="C598">
        <v>0.67210000000000003</v>
      </c>
      <c r="L598" t="str">
        <f t="shared" si="9"/>
        <v xml:space="preserve"> Evesham Township</v>
      </c>
    </row>
    <row r="599" spans="1:12" hidden="1" x14ac:dyDescent="0.2">
      <c r="A599">
        <v>42091201411</v>
      </c>
      <c r="B599" t="s">
        <v>330</v>
      </c>
      <c r="C599">
        <v>0.67100000000000004</v>
      </c>
      <c r="L599" t="e">
        <f t="shared" si="9"/>
        <v>#VALUE!</v>
      </c>
    </row>
    <row r="600" spans="1:12" hidden="1" x14ac:dyDescent="0.2">
      <c r="A600">
        <v>34005702809</v>
      </c>
      <c r="B600" t="s">
        <v>227</v>
      </c>
      <c r="C600">
        <v>0.66979999999999995</v>
      </c>
      <c r="L600" t="e">
        <f t="shared" si="9"/>
        <v>#VALUE!</v>
      </c>
    </row>
    <row r="601" spans="1:12" hidden="1" x14ac:dyDescent="0.2">
      <c r="A601">
        <v>34007603302</v>
      </c>
      <c r="B601" t="s">
        <v>290</v>
      </c>
      <c r="C601">
        <v>0.66930000000000001</v>
      </c>
      <c r="L601" t="e">
        <f t="shared" si="9"/>
        <v>#VALUE!</v>
      </c>
    </row>
    <row r="602" spans="1:12" hidden="1" x14ac:dyDescent="0.2">
      <c r="A602">
        <v>34005704006</v>
      </c>
      <c r="B602" t="s">
        <v>339</v>
      </c>
      <c r="C602">
        <v>0.66720000000000002</v>
      </c>
      <c r="L602" t="str">
        <f t="shared" si="9"/>
        <v xml:space="preserve"> Cherry Hill</v>
      </c>
    </row>
    <row r="603" spans="1:12" x14ac:dyDescent="0.2">
      <c r="A603">
        <v>42101000402</v>
      </c>
      <c r="B603" t="s">
        <v>235</v>
      </c>
      <c r="C603" s="7">
        <v>0.45379999999999998</v>
      </c>
      <c r="D603">
        <f>VLOOKUP(A603,Philly_income!$A$2:$C$324,3,FALSE)</f>
        <v>37073</v>
      </c>
      <c r="L603" t="str">
        <f t="shared" si="9"/>
        <v xml:space="preserve"> Philadelphia</v>
      </c>
    </row>
    <row r="604" spans="1:12" hidden="1" x14ac:dyDescent="0.2">
      <c r="A604">
        <v>42091200106</v>
      </c>
      <c r="B604" t="s">
        <v>274</v>
      </c>
      <c r="C604">
        <v>0.6663</v>
      </c>
      <c r="L604" t="e">
        <f t="shared" si="9"/>
        <v>#VALUE!</v>
      </c>
    </row>
    <row r="605" spans="1:12" hidden="1" x14ac:dyDescent="0.2">
      <c r="A605">
        <v>34007607506</v>
      </c>
      <c r="B605" t="s">
        <v>295</v>
      </c>
      <c r="C605">
        <v>0.66159999999999997</v>
      </c>
      <c r="L605" t="str">
        <f t="shared" si="9"/>
        <v xml:space="preserve"> Voorhees Township</v>
      </c>
    </row>
    <row r="606" spans="1:12" hidden="1" x14ac:dyDescent="0.2">
      <c r="A606">
        <v>34005702910</v>
      </c>
      <c r="B606" t="s">
        <v>325</v>
      </c>
      <c r="C606">
        <v>0.66139999999999999</v>
      </c>
      <c r="L606" t="e">
        <f t="shared" si="9"/>
        <v>#VALUE!</v>
      </c>
    </row>
    <row r="607" spans="1:12" hidden="1" x14ac:dyDescent="0.2">
      <c r="A607">
        <v>42091205906</v>
      </c>
      <c r="B607" t="s">
        <v>312</v>
      </c>
      <c r="C607">
        <v>0.65659999999999996</v>
      </c>
      <c r="L607" t="e">
        <f t="shared" si="9"/>
        <v>#VALUE!</v>
      </c>
    </row>
    <row r="608" spans="1:12" x14ac:dyDescent="0.2">
      <c r="A608">
        <v>42101021700</v>
      </c>
      <c r="B608" t="s">
        <v>158</v>
      </c>
      <c r="C608" s="7">
        <v>0.82520000000000004</v>
      </c>
      <c r="D608">
        <f>VLOOKUP(A608,Philly_income!$A$2:$C$324,3,FALSE)</f>
        <v>37176</v>
      </c>
      <c r="L608" t="str">
        <f t="shared" si="9"/>
        <v xml:space="preserve"> Philadelphia</v>
      </c>
    </row>
    <row r="609" spans="1:12" hidden="1" x14ac:dyDescent="0.2">
      <c r="A609">
        <v>42091204009</v>
      </c>
      <c r="B609" t="s">
        <v>318</v>
      </c>
      <c r="C609">
        <v>0.64910000000000001</v>
      </c>
      <c r="L609" t="e">
        <f t="shared" si="9"/>
        <v>#VALUE!</v>
      </c>
    </row>
    <row r="610" spans="1:12" hidden="1" x14ac:dyDescent="0.2">
      <c r="A610">
        <v>42091201608</v>
      </c>
      <c r="B610" t="s">
        <v>326</v>
      </c>
      <c r="C610">
        <v>0.64900000000000002</v>
      </c>
      <c r="L610" t="e">
        <f t="shared" si="9"/>
        <v>#VALUE!</v>
      </c>
    </row>
    <row r="611" spans="1:12" hidden="1" x14ac:dyDescent="0.2">
      <c r="A611">
        <v>34007606000</v>
      </c>
      <c r="B611" t="s">
        <v>340</v>
      </c>
      <c r="C611">
        <v>0.64700000000000002</v>
      </c>
      <c r="L611" t="e">
        <f t="shared" si="9"/>
        <v>#VALUE!</v>
      </c>
    </row>
    <row r="612" spans="1:12" hidden="1" x14ac:dyDescent="0.2">
      <c r="A612">
        <v>42091204702</v>
      </c>
      <c r="B612" t="s">
        <v>322</v>
      </c>
      <c r="C612">
        <v>0.64639999999999997</v>
      </c>
      <c r="L612" t="e">
        <f t="shared" si="9"/>
        <v>#VALUE!</v>
      </c>
    </row>
    <row r="613" spans="1:12" hidden="1" x14ac:dyDescent="0.2">
      <c r="A613">
        <v>42091201501</v>
      </c>
      <c r="B613" t="s">
        <v>274</v>
      </c>
      <c r="C613">
        <v>0.64419999999999999</v>
      </c>
      <c r="L613" t="e">
        <f t="shared" si="9"/>
        <v>#VALUE!</v>
      </c>
    </row>
    <row r="614" spans="1:12" x14ac:dyDescent="0.2">
      <c r="A614">
        <v>42101001600</v>
      </c>
      <c r="B614" t="s">
        <v>259</v>
      </c>
      <c r="C614" s="7">
        <v>0.60370000000000001</v>
      </c>
      <c r="D614">
        <f>VLOOKUP(A614,Philly_income!$A$2:$C$324,3,FALSE)</f>
        <v>37233</v>
      </c>
      <c r="L614" t="str">
        <f t="shared" si="9"/>
        <v xml:space="preserve"> Philadelphia</v>
      </c>
    </row>
    <row r="615" spans="1:12" hidden="1" x14ac:dyDescent="0.2">
      <c r="A615">
        <v>42091202100</v>
      </c>
      <c r="B615" t="s">
        <v>347</v>
      </c>
      <c r="C615">
        <v>0.64149999999999996</v>
      </c>
      <c r="L615" t="e">
        <f t="shared" si="9"/>
        <v>#VALUE!</v>
      </c>
    </row>
    <row r="616" spans="1:12" hidden="1" x14ac:dyDescent="0.2">
      <c r="A616">
        <v>34005700502</v>
      </c>
      <c r="B616" t="s">
        <v>331</v>
      </c>
      <c r="C616">
        <v>0.64119999999999999</v>
      </c>
      <c r="L616" t="str">
        <f t="shared" si="9"/>
        <v xml:space="preserve"> Moorestown</v>
      </c>
    </row>
    <row r="617" spans="1:12" x14ac:dyDescent="0.2">
      <c r="A617">
        <v>42101000804</v>
      </c>
      <c r="B617" t="s">
        <v>235</v>
      </c>
      <c r="C617" s="7">
        <v>0.46479999999999999</v>
      </c>
      <c r="D617">
        <f>VLOOKUP(A617,Philly_income!$A$2:$C$324,3,FALSE)</f>
        <v>37293</v>
      </c>
      <c r="L617" t="str">
        <f t="shared" si="9"/>
        <v xml:space="preserve"> Philadelphia</v>
      </c>
    </row>
    <row r="618" spans="1:12" x14ac:dyDescent="0.2">
      <c r="A618">
        <v>42101030800</v>
      </c>
      <c r="B618" t="s">
        <v>249</v>
      </c>
      <c r="C618" s="7">
        <v>0.82320000000000004</v>
      </c>
      <c r="D618">
        <f>VLOOKUP(A618,Philly_income!$A$2:$C$324,3,FALSE)</f>
        <v>37442</v>
      </c>
      <c r="L618" t="str">
        <f t="shared" si="9"/>
        <v xml:space="preserve"> Philadelphia</v>
      </c>
    </row>
    <row r="619" spans="1:12" hidden="1" x14ac:dyDescent="0.2">
      <c r="A619">
        <v>34005702908</v>
      </c>
      <c r="B619" t="s">
        <v>325</v>
      </c>
      <c r="C619">
        <v>0.63439999999999996</v>
      </c>
      <c r="L619" t="e">
        <f t="shared" si="9"/>
        <v>#VALUE!</v>
      </c>
    </row>
    <row r="620" spans="1:12" x14ac:dyDescent="0.2">
      <c r="A620">
        <v>42101031502</v>
      </c>
      <c r="B620" t="s">
        <v>275</v>
      </c>
      <c r="C620" s="7">
        <v>0.84119999999999995</v>
      </c>
      <c r="D620">
        <f>VLOOKUP(A620,Philly_income!$A$2:$C$324,3,FALSE)</f>
        <v>37506</v>
      </c>
      <c r="L620" t="str">
        <f t="shared" si="9"/>
        <v xml:space="preserve"> Philadelphia</v>
      </c>
    </row>
    <row r="621" spans="1:12" hidden="1" x14ac:dyDescent="0.2">
      <c r="A621">
        <v>42091202302</v>
      </c>
      <c r="B621" t="s">
        <v>226</v>
      </c>
      <c r="C621">
        <v>0.63300000000000001</v>
      </c>
      <c r="L621" t="e">
        <f t="shared" si="9"/>
        <v>#VALUE!</v>
      </c>
    </row>
    <row r="622" spans="1:12" hidden="1" x14ac:dyDescent="0.2">
      <c r="A622">
        <v>42091203000</v>
      </c>
      <c r="B622" t="s">
        <v>330</v>
      </c>
      <c r="C622">
        <v>0.63149999999999995</v>
      </c>
      <c r="L622" t="e">
        <f t="shared" si="9"/>
        <v>#VALUE!</v>
      </c>
    </row>
    <row r="623" spans="1:12" hidden="1" x14ac:dyDescent="0.2">
      <c r="A623">
        <v>42091201406</v>
      </c>
      <c r="B623" t="s">
        <v>360</v>
      </c>
      <c r="C623">
        <v>0.63149999999999995</v>
      </c>
      <c r="L623" t="e">
        <f t="shared" si="9"/>
        <v>#VALUE!</v>
      </c>
    </row>
    <row r="624" spans="1:12" hidden="1" x14ac:dyDescent="0.2">
      <c r="A624">
        <v>42091202604</v>
      </c>
      <c r="B624" t="s">
        <v>302</v>
      </c>
      <c r="C624">
        <v>0.63119999999999998</v>
      </c>
      <c r="L624" t="e">
        <f t="shared" si="9"/>
        <v>#VALUE!</v>
      </c>
    </row>
    <row r="625" spans="1:12" hidden="1" x14ac:dyDescent="0.2">
      <c r="A625">
        <v>34005702905</v>
      </c>
      <c r="B625" t="s">
        <v>328</v>
      </c>
      <c r="C625">
        <v>0.63080000000000003</v>
      </c>
      <c r="L625" t="str">
        <f t="shared" si="9"/>
        <v xml:space="preserve"> Mount Laurel</v>
      </c>
    </row>
    <row r="626" spans="1:12" hidden="1" x14ac:dyDescent="0.2">
      <c r="A626">
        <v>42045408300</v>
      </c>
      <c r="B626" t="s">
        <v>335</v>
      </c>
      <c r="C626">
        <v>0.63039999999999996</v>
      </c>
      <c r="L626" t="e">
        <f t="shared" si="9"/>
        <v>#VALUE!</v>
      </c>
    </row>
    <row r="627" spans="1:12" hidden="1" x14ac:dyDescent="0.2">
      <c r="A627">
        <v>42091202602</v>
      </c>
      <c r="B627" t="s">
        <v>344</v>
      </c>
      <c r="C627">
        <v>0.63</v>
      </c>
      <c r="L627" t="e">
        <f t="shared" si="9"/>
        <v>#VALUE!</v>
      </c>
    </row>
    <row r="628" spans="1:12" x14ac:dyDescent="0.2">
      <c r="A628">
        <v>42101034200</v>
      </c>
      <c r="B628" t="s">
        <v>297</v>
      </c>
      <c r="C628" s="7">
        <v>0.82709999999999995</v>
      </c>
      <c r="D628">
        <f>VLOOKUP(A628,Philly_income!$A$2:$C$324,3,FALSE)</f>
        <v>37595</v>
      </c>
      <c r="L628" t="str">
        <f t="shared" si="9"/>
        <v xml:space="preserve"> Philadelphia</v>
      </c>
    </row>
    <row r="629" spans="1:12" hidden="1" x14ac:dyDescent="0.2">
      <c r="A629">
        <v>42091203105</v>
      </c>
      <c r="B629" t="s">
        <v>342</v>
      </c>
      <c r="C629">
        <v>0.62309999999999999</v>
      </c>
      <c r="L629" t="e">
        <f t="shared" si="9"/>
        <v>#VALUE!</v>
      </c>
    </row>
    <row r="630" spans="1:12" hidden="1" x14ac:dyDescent="0.2">
      <c r="A630">
        <v>42091205600</v>
      </c>
      <c r="B630" t="s">
        <v>332</v>
      </c>
      <c r="C630">
        <v>0.62290000000000001</v>
      </c>
      <c r="L630" t="e">
        <f t="shared" si="9"/>
        <v>#VALUE!</v>
      </c>
    </row>
    <row r="631" spans="1:12" x14ac:dyDescent="0.2">
      <c r="A631">
        <v>42101023600</v>
      </c>
      <c r="B631" t="s">
        <v>232</v>
      </c>
      <c r="C631" s="7">
        <v>0.59640000000000004</v>
      </c>
      <c r="D631">
        <f>VLOOKUP(A631,Philly_income!$A$2:$C$324,3,FALSE)</f>
        <v>37738</v>
      </c>
      <c r="L631" t="str">
        <f t="shared" si="9"/>
        <v xml:space="preserve"> Philadelphia</v>
      </c>
    </row>
    <row r="632" spans="1:12" hidden="1" x14ac:dyDescent="0.2">
      <c r="A632">
        <v>34005702907</v>
      </c>
      <c r="B632" t="s">
        <v>325</v>
      </c>
      <c r="C632">
        <v>0.62060000000000004</v>
      </c>
      <c r="L632" t="e">
        <f t="shared" si="9"/>
        <v>#VALUE!</v>
      </c>
    </row>
    <row r="633" spans="1:12" hidden="1" x14ac:dyDescent="0.2">
      <c r="A633">
        <v>42091200200</v>
      </c>
      <c r="B633" t="s">
        <v>337</v>
      </c>
      <c r="C633">
        <v>0.6159</v>
      </c>
      <c r="L633" t="str">
        <f t="shared" si="9"/>
        <v xml:space="preserve"> Bryn Athyn</v>
      </c>
    </row>
    <row r="634" spans="1:12" hidden="1" x14ac:dyDescent="0.2">
      <c r="A634">
        <v>34007603603</v>
      </c>
      <c r="B634" t="s">
        <v>333</v>
      </c>
      <c r="C634">
        <v>0.61499999999999999</v>
      </c>
      <c r="L634" t="str">
        <f t="shared" si="9"/>
        <v xml:space="preserve"> Cherry Hill</v>
      </c>
    </row>
    <row r="635" spans="1:12" hidden="1" x14ac:dyDescent="0.2">
      <c r="A635">
        <v>42091201502</v>
      </c>
      <c r="B635" t="s">
        <v>353</v>
      </c>
      <c r="C635">
        <v>0.61419999999999997</v>
      </c>
      <c r="L635" t="e">
        <f t="shared" si="9"/>
        <v>#VALUE!</v>
      </c>
    </row>
    <row r="636" spans="1:12" x14ac:dyDescent="0.2">
      <c r="A636">
        <v>42101034100</v>
      </c>
      <c r="B636" t="s">
        <v>297</v>
      </c>
      <c r="C636" s="7">
        <v>0.84860000000000002</v>
      </c>
      <c r="D636">
        <f>VLOOKUP(A636,Philly_income!$A$2:$C$324,3,FALSE)</f>
        <v>37793</v>
      </c>
      <c r="L636" t="str">
        <f t="shared" si="9"/>
        <v xml:space="preserve"> Philadelphia</v>
      </c>
    </row>
    <row r="637" spans="1:12" hidden="1" x14ac:dyDescent="0.2">
      <c r="A637">
        <v>34007607503</v>
      </c>
      <c r="B637" t="s">
        <v>350</v>
      </c>
      <c r="C637">
        <v>0.61</v>
      </c>
      <c r="L637" t="e">
        <f t="shared" si="9"/>
        <v>#VALUE!</v>
      </c>
    </row>
    <row r="638" spans="1:12" hidden="1" x14ac:dyDescent="0.2">
      <c r="A638">
        <v>42091201800</v>
      </c>
      <c r="B638" t="s">
        <v>347</v>
      </c>
      <c r="C638">
        <v>0.60550000000000004</v>
      </c>
      <c r="L638" t="e">
        <f t="shared" si="9"/>
        <v>#VALUE!</v>
      </c>
    </row>
    <row r="639" spans="1:12" x14ac:dyDescent="0.2">
      <c r="A639">
        <v>42101980200</v>
      </c>
      <c r="B639" t="s">
        <v>155</v>
      </c>
      <c r="C639" s="7">
        <v>0.64939999999999998</v>
      </c>
      <c r="D639">
        <f>VLOOKUP(A639,Philly_income!$A$2:$C$324,3,FALSE)</f>
        <v>37864</v>
      </c>
      <c r="L639" t="str">
        <f t="shared" si="9"/>
        <v xml:space="preserve"> Philadelphia</v>
      </c>
    </row>
    <row r="640" spans="1:12" hidden="1" x14ac:dyDescent="0.2">
      <c r="A640">
        <v>34007607505</v>
      </c>
      <c r="B640" t="s">
        <v>350</v>
      </c>
      <c r="C640">
        <v>0.60389999999999999</v>
      </c>
      <c r="L640" t="e">
        <f t="shared" si="9"/>
        <v>#VALUE!</v>
      </c>
    </row>
    <row r="641" spans="1:12" x14ac:dyDescent="0.2">
      <c r="A641">
        <v>42101034701</v>
      </c>
      <c r="B641" t="s">
        <v>155</v>
      </c>
      <c r="C641" s="7">
        <v>0.82950000000000002</v>
      </c>
      <c r="D641">
        <f>VLOOKUP(A641,Philly_income!$A$2:$C$324,3,FALSE)</f>
        <v>38180</v>
      </c>
      <c r="L641" t="str">
        <f t="shared" si="9"/>
        <v xml:space="preserve"> Philadelphia</v>
      </c>
    </row>
    <row r="642" spans="1:12" hidden="1" x14ac:dyDescent="0.2">
      <c r="A642">
        <v>42091203208</v>
      </c>
      <c r="B642" t="s">
        <v>357</v>
      </c>
      <c r="C642">
        <v>0.60099999999999998</v>
      </c>
      <c r="L642" t="e">
        <f t="shared" si="9"/>
        <v>#VALUE!</v>
      </c>
    </row>
    <row r="643" spans="1:12" hidden="1" x14ac:dyDescent="0.2">
      <c r="A643">
        <v>42045409602</v>
      </c>
      <c r="B643" t="s">
        <v>296</v>
      </c>
      <c r="C643">
        <v>0.60019999999999996</v>
      </c>
      <c r="L643" t="e">
        <f t="shared" ref="L643:L706" si="10">MID($B643, FIND(",",$B643)+1, FIND(",",$B643,FIND(",",$B643)+1) -1 -FIND(",",$B643))</f>
        <v>#VALUE!</v>
      </c>
    </row>
    <row r="644" spans="1:12" hidden="1" x14ac:dyDescent="0.2">
      <c r="A644">
        <v>34007606300</v>
      </c>
      <c r="B644" t="s">
        <v>321</v>
      </c>
      <c r="C644">
        <v>0.60009999999999997</v>
      </c>
      <c r="L644" t="e">
        <f t="shared" si="10"/>
        <v>#VALUE!</v>
      </c>
    </row>
    <row r="645" spans="1:12" hidden="1" x14ac:dyDescent="0.2">
      <c r="A645">
        <v>34005700504</v>
      </c>
      <c r="B645" t="s">
        <v>331</v>
      </c>
      <c r="C645">
        <v>0.59919999999999995</v>
      </c>
      <c r="L645" t="str">
        <f t="shared" si="10"/>
        <v xml:space="preserve"> Moorestown</v>
      </c>
    </row>
    <row r="646" spans="1:12" x14ac:dyDescent="0.2">
      <c r="A646">
        <v>42101036900</v>
      </c>
      <c r="B646" t="s">
        <v>329</v>
      </c>
      <c r="C646" s="7">
        <v>0.4798</v>
      </c>
      <c r="D646">
        <f>VLOOKUP(A646,Philly_income!$A$2:$C$324,3,FALSE)</f>
        <v>38510</v>
      </c>
      <c r="L646" t="str">
        <f t="shared" si="10"/>
        <v xml:space="preserve"> Philadelphia</v>
      </c>
    </row>
    <row r="647" spans="1:12" hidden="1" x14ac:dyDescent="0.2">
      <c r="A647">
        <v>34007607504</v>
      </c>
      <c r="B647" t="s">
        <v>350</v>
      </c>
      <c r="C647">
        <v>0.59189999999999998</v>
      </c>
      <c r="L647" t="e">
        <f t="shared" si="10"/>
        <v>#VALUE!</v>
      </c>
    </row>
    <row r="648" spans="1:12" hidden="1" x14ac:dyDescent="0.2">
      <c r="A648">
        <v>34007606200</v>
      </c>
      <c r="B648" t="s">
        <v>321</v>
      </c>
      <c r="C648">
        <v>0.5897</v>
      </c>
      <c r="L648" t="e">
        <f t="shared" si="10"/>
        <v>#VALUE!</v>
      </c>
    </row>
    <row r="649" spans="1:12" hidden="1" x14ac:dyDescent="0.2">
      <c r="A649">
        <v>34007606400</v>
      </c>
      <c r="B649" t="s">
        <v>321</v>
      </c>
      <c r="C649">
        <v>0.58919999999999995</v>
      </c>
      <c r="L649" t="e">
        <f t="shared" si="10"/>
        <v>#VALUE!</v>
      </c>
    </row>
    <row r="650" spans="1:12" hidden="1" x14ac:dyDescent="0.2">
      <c r="A650">
        <v>42091210500</v>
      </c>
      <c r="B650" t="s">
        <v>349</v>
      </c>
      <c r="C650">
        <v>0.58840000000000003</v>
      </c>
      <c r="L650" t="e">
        <f t="shared" si="10"/>
        <v>#VALUE!</v>
      </c>
    </row>
    <row r="651" spans="1:12" hidden="1" x14ac:dyDescent="0.2">
      <c r="A651">
        <v>34005700501</v>
      </c>
      <c r="B651" t="s">
        <v>331</v>
      </c>
      <c r="C651">
        <v>0.58520000000000005</v>
      </c>
      <c r="L651" t="str">
        <f t="shared" si="10"/>
        <v xml:space="preserve"> Moorestown</v>
      </c>
    </row>
    <row r="652" spans="1:12" hidden="1" x14ac:dyDescent="0.2">
      <c r="A652">
        <v>34007603504</v>
      </c>
      <c r="B652" t="s">
        <v>290</v>
      </c>
      <c r="C652">
        <v>0.58479999999999999</v>
      </c>
      <c r="L652" t="e">
        <f t="shared" si="10"/>
        <v>#VALUE!</v>
      </c>
    </row>
    <row r="653" spans="1:12" x14ac:dyDescent="0.2">
      <c r="A653">
        <v>42101035200</v>
      </c>
      <c r="B653" t="s">
        <v>155</v>
      </c>
      <c r="C653" s="7">
        <v>0.89119999999999999</v>
      </c>
      <c r="D653">
        <f>VLOOKUP(A653,Philly_income!$A$2:$C$324,3,FALSE)</f>
        <v>38590</v>
      </c>
      <c r="L653" t="str">
        <f t="shared" si="10"/>
        <v xml:space="preserve"> Philadelphia</v>
      </c>
    </row>
    <row r="654" spans="1:12" hidden="1" x14ac:dyDescent="0.2">
      <c r="A654">
        <v>34007603602</v>
      </c>
      <c r="B654" t="s">
        <v>333</v>
      </c>
      <c r="C654">
        <v>0.58120000000000005</v>
      </c>
      <c r="L654" t="str">
        <f t="shared" si="10"/>
        <v xml:space="preserve"> Cherry Hill</v>
      </c>
    </row>
    <row r="655" spans="1:12" hidden="1" x14ac:dyDescent="0.2">
      <c r="A655">
        <v>42091202301</v>
      </c>
      <c r="B655" t="s">
        <v>226</v>
      </c>
      <c r="C655">
        <v>0.57869999999999999</v>
      </c>
      <c r="L655" t="e">
        <f t="shared" si="10"/>
        <v>#VALUE!</v>
      </c>
    </row>
    <row r="656" spans="1:12" hidden="1" x14ac:dyDescent="0.2">
      <c r="A656">
        <v>42045408400</v>
      </c>
      <c r="B656" t="s">
        <v>335</v>
      </c>
      <c r="C656">
        <v>0.57499999999999996</v>
      </c>
      <c r="L656" t="e">
        <f t="shared" si="10"/>
        <v>#VALUE!</v>
      </c>
    </row>
    <row r="657" spans="1:12" x14ac:dyDescent="0.2">
      <c r="A657">
        <v>42101033200</v>
      </c>
      <c r="B657" t="s">
        <v>275</v>
      </c>
      <c r="C657" s="7">
        <v>0.85070000000000001</v>
      </c>
      <c r="D657">
        <f>VLOOKUP(A657,Philly_income!$A$2:$C$324,3,FALSE)</f>
        <v>38735</v>
      </c>
      <c r="L657" t="str">
        <f t="shared" si="10"/>
        <v xml:space="preserve"> Philadelphia</v>
      </c>
    </row>
    <row r="658" spans="1:12" x14ac:dyDescent="0.2">
      <c r="A658">
        <v>42101022000</v>
      </c>
      <c r="B658" t="s">
        <v>158</v>
      </c>
      <c r="C658" s="7">
        <v>0.80910000000000004</v>
      </c>
      <c r="D658">
        <f>VLOOKUP(A658,Philly_income!$A$2:$C$324,3,FALSE)</f>
        <v>39445</v>
      </c>
      <c r="L658" t="str">
        <f t="shared" si="10"/>
        <v xml:space="preserve"> Philadelphia</v>
      </c>
    </row>
    <row r="659" spans="1:12" hidden="1" x14ac:dyDescent="0.2">
      <c r="A659">
        <v>42091201404</v>
      </c>
      <c r="B659" t="s">
        <v>330</v>
      </c>
      <c r="C659">
        <v>0.56530000000000002</v>
      </c>
      <c r="L659" t="e">
        <f t="shared" si="10"/>
        <v>#VALUE!</v>
      </c>
    </row>
    <row r="660" spans="1:12" hidden="1" x14ac:dyDescent="0.2">
      <c r="A660">
        <v>34007603507</v>
      </c>
      <c r="B660" t="s">
        <v>290</v>
      </c>
      <c r="C660">
        <v>0.56469999999999998</v>
      </c>
      <c r="L660" t="e">
        <f t="shared" si="10"/>
        <v>#VALUE!</v>
      </c>
    </row>
    <row r="661" spans="1:12" hidden="1" x14ac:dyDescent="0.2">
      <c r="A661">
        <v>34007603501</v>
      </c>
      <c r="B661" t="s">
        <v>339</v>
      </c>
      <c r="C661">
        <v>0.56340000000000001</v>
      </c>
      <c r="L661" t="str">
        <f t="shared" si="10"/>
        <v xml:space="preserve"> Cherry Hill</v>
      </c>
    </row>
    <row r="662" spans="1:12" hidden="1" x14ac:dyDescent="0.2">
      <c r="A662">
        <v>42091205200</v>
      </c>
      <c r="B662" t="s">
        <v>335</v>
      </c>
      <c r="C662">
        <v>0.56330000000000002</v>
      </c>
      <c r="L662" t="e">
        <f t="shared" si="10"/>
        <v>#VALUE!</v>
      </c>
    </row>
    <row r="663" spans="1:12" hidden="1" x14ac:dyDescent="0.2">
      <c r="A663">
        <v>34007603506</v>
      </c>
      <c r="B663" t="s">
        <v>339</v>
      </c>
      <c r="C663">
        <v>0.55820000000000003</v>
      </c>
      <c r="L663" t="str">
        <f t="shared" si="10"/>
        <v xml:space="preserve"> Cherry Hill</v>
      </c>
    </row>
    <row r="664" spans="1:12" hidden="1" x14ac:dyDescent="0.2">
      <c r="A664">
        <v>42091205502</v>
      </c>
      <c r="B664" t="s">
        <v>358</v>
      </c>
      <c r="C664">
        <v>0.55359999999999998</v>
      </c>
      <c r="L664" t="e">
        <f t="shared" si="10"/>
        <v>#VALUE!</v>
      </c>
    </row>
    <row r="665" spans="1:12" hidden="1" x14ac:dyDescent="0.2">
      <c r="A665">
        <v>42091205000</v>
      </c>
      <c r="B665" t="s">
        <v>296</v>
      </c>
      <c r="C665">
        <v>0.55220000000000002</v>
      </c>
      <c r="L665" t="e">
        <f t="shared" si="10"/>
        <v>#VALUE!</v>
      </c>
    </row>
    <row r="666" spans="1:12" hidden="1" x14ac:dyDescent="0.2">
      <c r="A666">
        <v>34005700505</v>
      </c>
      <c r="B666" t="s">
        <v>359</v>
      </c>
      <c r="C666">
        <v>0.54930000000000001</v>
      </c>
      <c r="L666" t="e">
        <f t="shared" si="10"/>
        <v>#VALUE!</v>
      </c>
    </row>
    <row r="667" spans="1:12" x14ac:dyDescent="0.2">
      <c r="A667">
        <v>42101013402</v>
      </c>
      <c r="B667" t="s">
        <v>172</v>
      </c>
      <c r="C667" s="7">
        <v>0.63859999999999995</v>
      </c>
      <c r="D667">
        <f>VLOOKUP(A667,Philly_income!$A$2:$C$324,3,FALSE)</f>
        <v>39514</v>
      </c>
      <c r="L667" t="str">
        <f t="shared" si="10"/>
        <v xml:space="preserve"> Philadelphia</v>
      </c>
    </row>
    <row r="668" spans="1:12" hidden="1" x14ac:dyDescent="0.2">
      <c r="A668">
        <v>42091204300</v>
      </c>
      <c r="B668" t="s">
        <v>322</v>
      </c>
      <c r="C668">
        <v>0.54679999999999995</v>
      </c>
      <c r="L668" t="e">
        <f t="shared" si="10"/>
        <v>#VALUE!</v>
      </c>
    </row>
    <row r="669" spans="1:12" x14ac:dyDescent="0.2">
      <c r="A669">
        <v>42101021800</v>
      </c>
      <c r="B669" t="s">
        <v>317</v>
      </c>
      <c r="C669" s="7">
        <v>0.82509999999999994</v>
      </c>
      <c r="D669">
        <f>VLOOKUP(A669,Philly_income!$A$2:$C$324,3,FALSE)</f>
        <v>39744</v>
      </c>
      <c r="L669" t="str">
        <f t="shared" si="10"/>
        <v xml:space="preserve"> Philadelphia</v>
      </c>
    </row>
    <row r="670" spans="1:12" hidden="1" x14ac:dyDescent="0.2">
      <c r="A670">
        <v>34005700503</v>
      </c>
      <c r="B670" t="s">
        <v>331</v>
      </c>
      <c r="C670">
        <v>0.52639999999999998</v>
      </c>
      <c r="L670" t="str">
        <f t="shared" si="10"/>
        <v xml:space="preserve"> Moorestown</v>
      </c>
    </row>
    <row r="671" spans="1:12" x14ac:dyDescent="0.2">
      <c r="A671">
        <v>42101001202</v>
      </c>
      <c r="B671" t="s">
        <v>235</v>
      </c>
      <c r="C671" s="7">
        <v>0.51290000000000002</v>
      </c>
      <c r="D671">
        <f>VLOOKUP(A671,Philly_income!$A$2:$C$324,3,FALSE)</f>
        <v>40310</v>
      </c>
      <c r="L671" t="str">
        <f t="shared" si="10"/>
        <v xml:space="preserve"> Philadelphia</v>
      </c>
    </row>
    <row r="672" spans="1:12" hidden="1" x14ac:dyDescent="0.2">
      <c r="A672">
        <v>42091204701</v>
      </c>
      <c r="B672" t="s">
        <v>345</v>
      </c>
      <c r="C672">
        <v>0.52349999999999997</v>
      </c>
      <c r="L672" t="e">
        <f t="shared" si="10"/>
        <v>#VALUE!</v>
      </c>
    </row>
    <row r="673" spans="1:12" hidden="1" x14ac:dyDescent="0.2">
      <c r="A673">
        <v>42091204800</v>
      </c>
      <c r="B673" t="s">
        <v>363</v>
      </c>
      <c r="C673">
        <v>0.52300000000000002</v>
      </c>
      <c r="L673" t="e">
        <f t="shared" si="10"/>
        <v>#VALUE!</v>
      </c>
    </row>
    <row r="674" spans="1:12" x14ac:dyDescent="0.2">
      <c r="A674">
        <v>42101001201</v>
      </c>
      <c r="B674" t="s">
        <v>235</v>
      </c>
      <c r="C674" s="7">
        <v>0.52190000000000003</v>
      </c>
      <c r="D674">
        <f>VLOOKUP(A674,Philly_income!$A$2:$C$324,3,FALSE)</f>
        <v>40747</v>
      </c>
      <c r="L674" t="str">
        <f t="shared" si="10"/>
        <v xml:space="preserve"> Philadelphia</v>
      </c>
    </row>
    <row r="675" spans="1:12" hidden="1" x14ac:dyDescent="0.2">
      <c r="A675">
        <v>34007606100</v>
      </c>
      <c r="B675" t="s">
        <v>321</v>
      </c>
      <c r="C675">
        <v>0.51780000000000004</v>
      </c>
      <c r="L675" t="e">
        <f t="shared" si="10"/>
        <v>#VALUE!</v>
      </c>
    </row>
    <row r="676" spans="1:12" x14ac:dyDescent="0.2">
      <c r="A676">
        <v>42101038400</v>
      </c>
      <c r="B676" t="s">
        <v>158</v>
      </c>
      <c r="C676" s="7">
        <v>0.7288</v>
      </c>
      <c r="D676">
        <f>VLOOKUP(A676,Philly_income!$A$2:$C$324,3,FALSE)</f>
        <v>41024</v>
      </c>
      <c r="L676" t="str">
        <f t="shared" si="10"/>
        <v xml:space="preserve"> Philadelphia</v>
      </c>
    </row>
    <row r="677" spans="1:12" hidden="1" x14ac:dyDescent="0.2">
      <c r="A677">
        <v>42091205503</v>
      </c>
      <c r="B677" t="s">
        <v>352</v>
      </c>
      <c r="C677">
        <v>0.51659999999999995</v>
      </c>
      <c r="L677" t="str">
        <f t="shared" si="10"/>
        <v xml:space="preserve"> Wynnewood</v>
      </c>
    </row>
    <row r="678" spans="1:12" x14ac:dyDescent="0.2">
      <c r="A678">
        <v>42101013601</v>
      </c>
      <c r="B678" t="s">
        <v>172</v>
      </c>
      <c r="C678" s="7">
        <v>0.66679999999999995</v>
      </c>
      <c r="D678">
        <f>VLOOKUP(A678,Philly_income!$A$2:$C$324,3,FALSE)</f>
        <v>41135</v>
      </c>
      <c r="L678" t="str">
        <f t="shared" si="10"/>
        <v xml:space="preserve"> Philadelphia</v>
      </c>
    </row>
    <row r="679" spans="1:12" x14ac:dyDescent="0.2">
      <c r="A679">
        <v>42101034702</v>
      </c>
      <c r="B679" t="s">
        <v>155</v>
      </c>
      <c r="C679" s="7">
        <v>0.8488</v>
      </c>
      <c r="D679">
        <f>VLOOKUP(A679,Philly_income!$A$2:$C$324,3,FALSE)</f>
        <v>41499</v>
      </c>
      <c r="L679" t="str">
        <f t="shared" si="10"/>
        <v xml:space="preserve"> Philadelphia</v>
      </c>
    </row>
    <row r="680" spans="1:12" x14ac:dyDescent="0.2">
      <c r="A680">
        <v>42101023100</v>
      </c>
      <c r="B680" t="s">
        <v>283</v>
      </c>
      <c r="C680" s="7">
        <v>0.54890000000000005</v>
      </c>
      <c r="D680">
        <f>VLOOKUP(A680,Philly_income!$A$2:$C$324,3,FALSE)</f>
        <v>41763</v>
      </c>
      <c r="L680" t="str">
        <f t="shared" si="10"/>
        <v xml:space="preserve"> Philadelphia</v>
      </c>
    </row>
    <row r="681" spans="1:12" hidden="1" x14ac:dyDescent="0.2">
      <c r="A681">
        <v>42045409601</v>
      </c>
      <c r="B681" t="s">
        <v>296</v>
      </c>
      <c r="C681">
        <v>0.50990000000000002</v>
      </c>
      <c r="L681" t="e">
        <f t="shared" si="10"/>
        <v>#VALUE!</v>
      </c>
    </row>
    <row r="682" spans="1:12" hidden="1" x14ac:dyDescent="0.2">
      <c r="A682">
        <v>42091205400</v>
      </c>
      <c r="B682" t="s">
        <v>358</v>
      </c>
      <c r="C682">
        <v>0.50619999999999998</v>
      </c>
      <c r="L682" t="e">
        <f t="shared" si="10"/>
        <v>#VALUE!</v>
      </c>
    </row>
    <row r="683" spans="1:12" x14ac:dyDescent="0.2">
      <c r="A683">
        <v>42101036600</v>
      </c>
      <c r="B683" t="s">
        <v>235</v>
      </c>
      <c r="C683" s="7">
        <v>0.69389999999999996</v>
      </c>
      <c r="D683">
        <f>VLOOKUP(A683,Philly_income!$A$2:$C$324,3,FALSE)</f>
        <v>42033</v>
      </c>
      <c r="L683" t="str">
        <f t="shared" si="10"/>
        <v xml:space="preserve"> Philadelphia</v>
      </c>
    </row>
    <row r="684" spans="1:12" hidden="1" x14ac:dyDescent="0.2">
      <c r="A684">
        <v>42091204900</v>
      </c>
      <c r="B684" t="s">
        <v>362</v>
      </c>
      <c r="C684">
        <v>0.504</v>
      </c>
      <c r="L684" t="e">
        <f t="shared" si="10"/>
        <v>#VALUE!</v>
      </c>
    </row>
    <row r="685" spans="1:12" hidden="1" x14ac:dyDescent="0.2">
      <c r="A685">
        <v>42091204500</v>
      </c>
      <c r="B685" t="s">
        <v>354</v>
      </c>
      <c r="C685">
        <v>0.50190000000000001</v>
      </c>
      <c r="L685" t="e">
        <f t="shared" si="10"/>
        <v>#VALUE!</v>
      </c>
    </row>
    <row r="686" spans="1:12" hidden="1" x14ac:dyDescent="0.2">
      <c r="A686">
        <v>34007603503</v>
      </c>
      <c r="B686" t="s">
        <v>361</v>
      </c>
      <c r="C686">
        <v>0.49349999999999999</v>
      </c>
      <c r="L686" t="str">
        <f t="shared" si="10"/>
        <v xml:space="preserve"> Cherry Hill</v>
      </c>
    </row>
    <row r="687" spans="1:12" hidden="1" x14ac:dyDescent="0.2">
      <c r="A687">
        <v>42091204600</v>
      </c>
      <c r="B687" t="s">
        <v>345</v>
      </c>
      <c r="C687">
        <v>0.48459999999999998</v>
      </c>
      <c r="L687" t="e">
        <f t="shared" si="10"/>
        <v>#VALUE!</v>
      </c>
    </row>
    <row r="688" spans="1:12" x14ac:dyDescent="0.2">
      <c r="A688">
        <v>42101001102</v>
      </c>
      <c r="B688" t="s">
        <v>235</v>
      </c>
      <c r="C688" s="7">
        <v>0.5171</v>
      </c>
      <c r="D688">
        <f>VLOOKUP(A688,Philly_income!$A$2:$C$324,3,FALSE)</f>
        <v>42067</v>
      </c>
      <c r="L688" t="str">
        <f t="shared" si="10"/>
        <v xml:space="preserve"> Philadelphia</v>
      </c>
    </row>
    <row r="689" spans="1:12" x14ac:dyDescent="0.2">
      <c r="A689">
        <v>42101001001</v>
      </c>
      <c r="B689" t="s">
        <v>235</v>
      </c>
      <c r="C689" s="7">
        <v>0.51319999999999999</v>
      </c>
      <c r="D689">
        <f>VLOOKUP(A689,Philly_income!$A$2:$C$324,3,FALSE)</f>
        <v>42343</v>
      </c>
      <c r="L689" t="str">
        <f t="shared" si="10"/>
        <v xml:space="preserve"> Philadelphia</v>
      </c>
    </row>
    <row r="690" spans="1:12" x14ac:dyDescent="0.2">
      <c r="A690">
        <v>42101001002</v>
      </c>
      <c r="B690" t="s">
        <v>235</v>
      </c>
      <c r="C690" s="7">
        <v>0.38890000000000002</v>
      </c>
      <c r="D690">
        <f>VLOOKUP(A690,Philly_income!$A$2:$C$324,3,FALSE)</f>
        <v>42375</v>
      </c>
      <c r="L690" t="str">
        <f t="shared" si="10"/>
        <v xml:space="preserve"> Philadelphia</v>
      </c>
    </row>
    <row r="691" spans="1:12" hidden="1" x14ac:dyDescent="0.2">
      <c r="A691">
        <v>42091204400</v>
      </c>
      <c r="B691" t="s">
        <v>322</v>
      </c>
      <c r="C691">
        <v>0.46870000000000001</v>
      </c>
      <c r="L691" t="e">
        <f t="shared" si="10"/>
        <v>#VALUE!</v>
      </c>
    </row>
    <row r="692" spans="1:12" x14ac:dyDescent="0.2">
      <c r="A692">
        <v>42101020600</v>
      </c>
      <c r="B692" t="s">
        <v>266</v>
      </c>
      <c r="C692" s="7">
        <v>0.58160000000000001</v>
      </c>
      <c r="D692">
        <f>VLOOKUP(A692,Philly_income!$A$2:$C$324,3,FALSE)</f>
        <v>44138</v>
      </c>
      <c r="L692" t="str">
        <f t="shared" si="10"/>
        <v xml:space="preserve"> Philadelphia</v>
      </c>
    </row>
    <row r="693" spans="1:12" x14ac:dyDescent="0.2">
      <c r="A693">
        <v>42101008801</v>
      </c>
      <c r="B693" t="s">
        <v>160</v>
      </c>
      <c r="C693" s="7">
        <v>0.4234</v>
      </c>
      <c r="D693">
        <f>VLOOKUP(A693,Philly_income!$A$2:$C$324,3,FALSE)</f>
        <v>44139</v>
      </c>
      <c r="L693" t="str">
        <f t="shared" si="10"/>
        <v xml:space="preserve"> Philadelphia</v>
      </c>
    </row>
    <row r="694" spans="1:12" x14ac:dyDescent="0.2">
      <c r="A694">
        <v>42101013401</v>
      </c>
      <c r="B694" t="s">
        <v>172</v>
      </c>
      <c r="C694" s="7">
        <v>0.62129999999999996</v>
      </c>
      <c r="D694">
        <f>VLOOKUP(A694,Philly_income!$A$2:$C$324,3,FALSE)</f>
        <v>45019</v>
      </c>
      <c r="L694" t="str">
        <f t="shared" si="10"/>
        <v xml:space="preserve"> Philadelphia</v>
      </c>
    </row>
    <row r="695" spans="1:12" x14ac:dyDescent="0.2">
      <c r="A695">
        <v>42101000803</v>
      </c>
      <c r="B695" t="s">
        <v>235</v>
      </c>
      <c r="C695" s="7">
        <v>0.50419999999999998</v>
      </c>
      <c r="D695">
        <f>VLOOKUP(A695,Philly_income!$A$2:$C$324,3,FALSE)</f>
        <v>45122</v>
      </c>
      <c r="L695" t="str">
        <f t="shared" si="10"/>
        <v xml:space="preserve"> Philadelphia</v>
      </c>
    </row>
    <row r="696" spans="1:12" x14ac:dyDescent="0.2">
      <c r="A696">
        <v>42101038600</v>
      </c>
      <c r="B696" t="s">
        <v>283</v>
      </c>
      <c r="C696" s="7">
        <v>0.47149999999999997</v>
      </c>
      <c r="D696">
        <f>VLOOKUP(A696,Philly_income!$A$2:$C$324,3,FALSE)</f>
        <v>45428</v>
      </c>
      <c r="L696" t="str">
        <f t="shared" si="10"/>
        <v xml:space="preserve"> Philadelphia</v>
      </c>
    </row>
    <row r="697" spans="1:12" x14ac:dyDescent="0.2">
      <c r="A697">
        <v>42101038500</v>
      </c>
      <c r="B697" t="s">
        <v>283</v>
      </c>
      <c r="C697" s="7">
        <v>0.53110000000000002</v>
      </c>
      <c r="D697">
        <f>VLOOKUP(A697,Philly_income!$A$2:$C$324,3,FALSE)</f>
        <v>45780</v>
      </c>
      <c r="L697" t="str">
        <f t="shared" si="10"/>
        <v xml:space="preserve"> Philadelphia</v>
      </c>
    </row>
    <row r="698" spans="1:12" hidden="1" x14ac:dyDescent="0.2">
      <c r="A698">
        <v>42091205100</v>
      </c>
      <c r="B698" t="s">
        <v>296</v>
      </c>
      <c r="C698">
        <v>0.35830000000000001</v>
      </c>
      <c r="L698" t="e">
        <f t="shared" si="10"/>
        <v>#VALUE!</v>
      </c>
    </row>
    <row r="699" spans="1:12" hidden="1" x14ac:dyDescent="0.2">
      <c r="A699">
        <v>42045980000</v>
      </c>
      <c r="B699" t="s">
        <v>162</v>
      </c>
      <c r="L699" t="e">
        <f t="shared" si="10"/>
        <v>#VALUE!</v>
      </c>
    </row>
    <row r="700" spans="1:12" hidden="1" x14ac:dyDescent="0.2">
      <c r="A700">
        <v>42101980500</v>
      </c>
      <c r="B700" t="s">
        <v>161</v>
      </c>
      <c r="L700" t="str">
        <f t="shared" si="10"/>
        <v xml:space="preserve"> Philadelphia</v>
      </c>
    </row>
    <row r="701" spans="1:12" hidden="1" x14ac:dyDescent="0.2">
      <c r="A701">
        <v>42101036400</v>
      </c>
      <c r="B701" t="s">
        <v>155</v>
      </c>
      <c r="L701" t="str">
        <f t="shared" si="10"/>
        <v xml:space="preserve"> Philadelphia</v>
      </c>
    </row>
    <row r="702" spans="1:12" hidden="1" x14ac:dyDescent="0.2">
      <c r="A702">
        <v>42101980800</v>
      </c>
      <c r="B702" t="s">
        <v>160</v>
      </c>
      <c r="L702" t="str">
        <f t="shared" si="10"/>
        <v xml:space="preserve"> Philadelphia</v>
      </c>
    </row>
    <row r="703" spans="1:12" hidden="1" x14ac:dyDescent="0.2">
      <c r="A703">
        <v>42101980400</v>
      </c>
      <c r="B703" t="s">
        <v>159</v>
      </c>
      <c r="L703" t="str">
        <f t="shared" si="10"/>
        <v xml:space="preserve"> Philadelphia</v>
      </c>
    </row>
    <row r="704" spans="1:12" hidden="1" x14ac:dyDescent="0.2">
      <c r="A704">
        <v>42101980100</v>
      </c>
      <c r="B704" t="s">
        <v>158</v>
      </c>
      <c r="L704" t="str">
        <f t="shared" si="10"/>
        <v xml:space="preserve"> Philadelphia</v>
      </c>
    </row>
    <row r="705" spans="1:12" hidden="1" x14ac:dyDescent="0.2">
      <c r="A705">
        <v>42101980900</v>
      </c>
      <c r="B705" t="s">
        <v>157</v>
      </c>
      <c r="L705" t="str">
        <f t="shared" si="10"/>
        <v xml:space="preserve"> Philadelphia</v>
      </c>
    </row>
    <row r="706" spans="1:12" hidden="1" x14ac:dyDescent="0.2">
      <c r="A706">
        <v>42101980600</v>
      </c>
      <c r="B706" t="s">
        <v>156</v>
      </c>
      <c r="L706" t="str">
        <f t="shared" si="10"/>
        <v xml:space="preserve"> Philadelphia</v>
      </c>
    </row>
    <row r="707" spans="1:12" hidden="1" x14ac:dyDescent="0.2">
      <c r="A707">
        <v>42101980700</v>
      </c>
      <c r="B707" t="s">
        <v>156</v>
      </c>
      <c r="L707" t="str">
        <f t="shared" ref="L707:L711" si="11">MID($B707, FIND(",",$B707)+1, FIND(",",$B707,FIND(",",$B707)+1) -1 -FIND(",",$B707))</f>
        <v xml:space="preserve"> Philadelphia</v>
      </c>
    </row>
    <row r="708" spans="1:12" hidden="1" x14ac:dyDescent="0.2">
      <c r="A708">
        <v>42101980300</v>
      </c>
      <c r="B708" t="s">
        <v>155</v>
      </c>
      <c r="L708" t="str">
        <f t="shared" si="11"/>
        <v xml:space="preserve"> Philadelphia</v>
      </c>
    </row>
    <row r="709" spans="1:12" hidden="1" x14ac:dyDescent="0.2">
      <c r="A709">
        <v>42101989100</v>
      </c>
      <c r="B709" t="s">
        <v>154</v>
      </c>
      <c r="L709" t="str">
        <f t="shared" si="11"/>
        <v xml:space="preserve"> Philadelphia</v>
      </c>
    </row>
    <row r="710" spans="1:12" hidden="1" x14ac:dyDescent="0.2">
      <c r="A710">
        <v>42101012203</v>
      </c>
      <c r="B710" t="s">
        <v>153</v>
      </c>
      <c r="L710" t="str">
        <f t="shared" si="11"/>
        <v xml:space="preserve"> Philadelphia</v>
      </c>
    </row>
    <row r="711" spans="1:12" hidden="1" x14ac:dyDescent="0.2">
      <c r="A711">
        <v>42101980000</v>
      </c>
      <c r="B711" t="s">
        <v>152</v>
      </c>
      <c r="L711" t="str">
        <f t="shared" si="11"/>
        <v xml:space="preserve"> Philadelphia</v>
      </c>
    </row>
  </sheetData>
  <autoFilter ref="A1:D711" xr:uid="{E0F15E25-6E35-CD47-ADC5-780DD6EF3A5B}">
    <filterColumn colId="3">
      <filters>
        <filter val="27965"/>
        <filter val="27997"/>
        <filter val="28018"/>
        <filter val="28096"/>
        <filter val="28170"/>
        <filter val="28277"/>
        <filter val="28294"/>
        <filter val="28296"/>
        <filter val="28450"/>
        <filter val="28492"/>
        <filter val="28518"/>
        <filter val="28553"/>
        <filter val="28596"/>
        <filter val="28683"/>
        <filter val="28690"/>
        <filter val="28717"/>
        <filter val="28724"/>
        <filter val="28725"/>
        <filter val="28765"/>
        <filter val="28786"/>
        <filter val="28935"/>
        <filter val="29029"/>
        <filter val="29063"/>
        <filter val="29159"/>
        <filter val="29257"/>
        <filter val="29309"/>
        <filter val="29311"/>
        <filter val="29428"/>
        <filter val="29525"/>
        <filter val="29711"/>
        <filter val="29733"/>
        <filter val="29741"/>
        <filter val="29751"/>
        <filter val="29920"/>
        <filter val="29975"/>
        <filter val="30163"/>
        <filter val="30197"/>
        <filter val="30321"/>
        <filter val="30379"/>
        <filter val="30620"/>
        <filter val="30640"/>
        <filter val="30653"/>
        <filter val="30901"/>
        <filter val="30957"/>
        <filter val="31039"/>
        <filter val="31131"/>
        <filter val="31134"/>
        <filter val="31222"/>
        <filter val="31229"/>
        <filter val="31576"/>
        <filter val="31653"/>
        <filter val="31873"/>
        <filter val="31901"/>
        <filter val="31998"/>
        <filter val="32117"/>
        <filter val="32127"/>
        <filter val="32150"/>
        <filter val="32282"/>
        <filter val="32331"/>
        <filter val="32365"/>
        <filter val="32439"/>
        <filter val="32479"/>
        <filter val="32480"/>
        <filter val="32547"/>
        <filter val="32549"/>
        <filter val="32569"/>
        <filter val="32629"/>
        <filter val="32756"/>
        <filter val="32945"/>
        <filter val="32958"/>
        <filter val="32984"/>
        <filter val="32996"/>
        <filter val="33096"/>
        <filter val="33206"/>
        <filter val="33295"/>
        <filter val="33324"/>
        <filter val="33331"/>
        <filter val="33559"/>
        <filter val="33605"/>
        <filter val="33674"/>
        <filter val="33784"/>
        <filter val="33919"/>
        <filter val="33926"/>
        <filter val="33966"/>
        <filter val="34021"/>
        <filter val="34146"/>
        <filter val="34177"/>
        <filter val="34182"/>
        <filter val="34244"/>
        <filter val="34377"/>
        <filter val="34433"/>
        <filter val="34455"/>
        <filter val="34554"/>
        <filter val="34683"/>
        <filter val="34793"/>
        <filter val="34805"/>
        <filter val="34852"/>
        <filter val="34874"/>
        <filter val="34956"/>
        <filter val="34966"/>
        <filter val="35020"/>
        <filter val="35243"/>
        <filter val="35404"/>
        <filter val="35523"/>
        <filter val="35863"/>
        <filter val="35981"/>
        <filter val="35988"/>
        <filter val="36305"/>
        <filter val="36385"/>
        <filter val="36472"/>
        <filter val="36480"/>
        <filter val="36509"/>
        <filter val="36807"/>
        <filter val="36850"/>
        <filter val="36886"/>
        <filter val="37073"/>
        <filter val="37176"/>
        <filter val="37233"/>
        <filter val="37293"/>
        <filter val="37442"/>
        <filter val="37506"/>
        <filter val="37595"/>
        <filter val="37738"/>
        <filter val="37793"/>
        <filter val="37864"/>
        <filter val="38180"/>
        <filter val="38510"/>
        <filter val="38590"/>
        <filter val="38735"/>
        <filter val="39445"/>
        <filter val="39514"/>
        <filter val="39744"/>
        <filter val="40310"/>
        <filter val="40747"/>
        <filter val="41024"/>
        <filter val="41135"/>
        <filter val="41499"/>
        <filter val="41763"/>
        <filter val="42033"/>
        <filter val="42067"/>
        <filter val="42343"/>
        <filter val="42375"/>
        <filter val="44138"/>
        <filter val="44139"/>
        <filter val="45019"/>
        <filter val="45122"/>
        <filter val="45428"/>
        <filter val="45780"/>
      </filters>
    </filterColumn>
    <sortState xmlns:xlrd2="http://schemas.microsoft.com/office/spreadsheetml/2017/richdata2" ref="A2:D697">
      <sortCondition ref="D2"/>
    </sortState>
  </autoFilter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filterMode="1"/>
  <dimension ref="A1:H272"/>
  <sheetViews>
    <sheetView workbookViewId="0">
      <selection sqref="A1:D269"/>
    </sheetView>
  </sheetViews>
  <sheetFormatPr baseColWidth="10" defaultRowHeight="16" x14ac:dyDescent="0.2"/>
  <cols>
    <col min="1" max="1" width="25.83203125" customWidth="1"/>
    <col min="2" max="2" width="25.1640625" customWidth="1"/>
    <col min="3" max="3" width="52.33203125" customWidth="1"/>
    <col min="4" max="4" width="22.33203125" customWidth="1"/>
  </cols>
  <sheetData>
    <row r="1" spans="1:8" x14ac:dyDescent="0.2">
      <c r="A1" t="s">
        <v>0</v>
      </c>
      <c r="B1" t="s">
        <v>1</v>
      </c>
      <c r="C1" t="s">
        <v>151</v>
      </c>
      <c r="D1" t="s">
        <v>377</v>
      </c>
    </row>
    <row r="2" spans="1:8" x14ac:dyDescent="0.2">
      <c r="A2">
        <v>24510180100</v>
      </c>
      <c r="B2" t="s">
        <v>102</v>
      </c>
      <c r="C2" s="7">
        <v>0.9274</v>
      </c>
      <c r="D2">
        <f>VLOOKUP(A2,bmore_income!$A$2:$C$324,3,FALSE)</f>
        <v>14365</v>
      </c>
      <c r="H2" t="str">
        <f>MID($B2, FIND(",",$B2)+1, FIND(",",$B2,FIND(",",$B2)+1) -1 -FIND(",",$B2))</f>
        <v xml:space="preserve"> Baltimore</v>
      </c>
    </row>
    <row r="3" spans="1:8" x14ac:dyDescent="0.2">
      <c r="A3">
        <v>24510200500</v>
      </c>
      <c r="B3" t="s">
        <v>129</v>
      </c>
      <c r="C3" s="7">
        <v>0.82199999999999995</v>
      </c>
      <c r="D3">
        <f>VLOOKUP(A3,bmore_income!$A$2:$C$324,3,FALSE)</f>
        <v>14938</v>
      </c>
      <c r="H3" t="str">
        <f t="shared" ref="H3:H66" si="0">MID($B3, FIND(",",$B3)+1, FIND(",",$B3,FIND(",",$B3)+1) -1 -FIND(",",$B3))</f>
        <v xml:space="preserve"> Baltimore</v>
      </c>
    </row>
    <row r="4" spans="1:8" x14ac:dyDescent="0.2">
      <c r="A4">
        <v>24510200300</v>
      </c>
      <c r="B4" t="s">
        <v>138</v>
      </c>
      <c r="C4" s="7">
        <v>0.80200000000000005</v>
      </c>
      <c r="D4">
        <f>VLOOKUP(A4,bmore_income!$A$2:$C$324,3,FALSE)</f>
        <v>15614</v>
      </c>
      <c r="H4" t="str">
        <f t="shared" si="0"/>
        <v xml:space="preserve"> Baltimore</v>
      </c>
    </row>
    <row r="5" spans="1:8" x14ac:dyDescent="0.2">
      <c r="A5">
        <v>24510080800</v>
      </c>
      <c r="B5" t="s">
        <v>123</v>
      </c>
      <c r="C5" s="7">
        <v>0.8679</v>
      </c>
      <c r="D5">
        <f>VLOOKUP(A5,bmore_income!$A$2:$C$324,3,FALSE)</f>
        <v>15854</v>
      </c>
      <c r="H5" t="str">
        <f t="shared" si="0"/>
        <v xml:space="preserve"> Baltimore</v>
      </c>
    </row>
    <row r="6" spans="1:8" x14ac:dyDescent="0.2">
      <c r="A6">
        <v>24510130100</v>
      </c>
      <c r="B6" t="s">
        <v>117</v>
      </c>
      <c r="C6" s="7">
        <v>0.84599999999999997</v>
      </c>
      <c r="D6">
        <f>VLOOKUP(A6,bmore_income!$A$2:$C$324,3,FALSE)</f>
        <v>15921</v>
      </c>
      <c r="H6" t="str">
        <f t="shared" si="0"/>
        <v xml:space="preserve"> Baltimore</v>
      </c>
    </row>
    <row r="7" spans="1:8" x14ac:dyDescent="0.2">
      <c r="A7">
        <v>24510190300</v>
      </c>
      <c r="B7" t="s">
        <v>133</v>
      </c>
      <c r="C7" s="7">
        <v>0.85360000000000003</v>
      </c>
      <c r="D7">
        <f>VLOOKUP(A7,bmore_income!$A$2:$C$324,3,FALSE)</f>
        <v>16142</v>
      </c>
      <c r="H7" t="str">
        <f t="shared" si="0"/>
        <v xml:space="preserve"> Baltimore</v>
      </c>
    </row>
    <row r="8" spans="1:8" x14ac:dyDescent="0.2">
      <c r="A8">
        <v>24510210100</v>
      </c>
      <c r="B8" t="s">
        <v>86</v>
      </c>
      <c r="C8" s="7">
        <v>0.89349999999999996</v>
      </c>
      <c r="D8">
        <f>VLOOKUP(A8,bmore_income!$A$2:$C$324,3,FALSE)</f>
        <v>16182</v>
      </c>
      <c r="H8" t="str">
        <f t="shared" si="0"/>
        <v xml:space="preserve"> Baltimore</v>
      </c>
    </row>
    <row r="9" spans="1:8" x14ac:dyDescent="0.2">
      <c r="A9">
        <v>24510070300</v>
      </c>
      <c r="B9" t="s">
        <v>148</v>
      </c>
      <c r="C9" s="7">
        <v>0.89549999999999996</v>
      </c>
      <c r="D9">
        <f>VLOOKUP(A9,bmore_income!$A$2:$C$324,3,FALSE)</f>
        <v>16572</v>
      </c>
      <c r="H9" t="str">
        <f t="shared" si="0"/>
        <v xml:space="preserve"> Baltimore</v>
      </c>
    </row>
    <row r="10" spans="1:8" x14ac:dyDescent="0.2">
      <c r="A10">
        <v>24510200400</v>
      </c>
      <c r="B10" t="s">
        <v>146</v>
      </c>
      <c r="C10" s="7">
        <v>0.88719999999999999</v>
      </c>
      <c r="D10">
        <f>VLOOKUP(A10,bmore_income!$A$2:$C$324,3,FALSE)</f>
        <v>16603</v>
      </c>
      <c r="H10" t="str">
        <f t="shared" si="0"/>
        <v xml:space="preserve"> Baltimore</v>
      </c>
    </row>
    <row r="11" spans="1:8" x14ac:dyDescent="0.2">
      <c r="A11">
        <v>24510190200</v>
      </c>
      <c r="B11" t="s">
        <v>118</v>
      </c>
      <c r="C11" s="7">
        <v>0.79930000000000001</v>
      </c>
      <c r="D11">
        <f>VLOOKUP(A11,bmore_income!$A$2:$C$324,3,FALSE)</f>
        <v>16632</v>
      </c>
      <c r="H11" t="str">
        <f t="shared" si="0"/>
        <v xml:space="preserve"> Baltimore</v>
      </c>
    </row>
    <row r="12" spans="1:8" x14ac:dyDescent="0.2">
      <c r="A12">
        <v>24510060100</v>
      </c>
      <c r="B12" t="s">
        <v>65</v>
      </c>
      <c r="C12" s="7">
        <v>0.89149999999999996</v>
      </c>
      <c r="D12">
        <f>VLOOKUP(A12,bmore_income!$A$2:$C$324,3,FALSE)</f>
        <v>16727</v>
      </c>
      <c r="H12" t="str">
        <f t="shared" si="0"/>
        <v xml:space="preserve"> Baltimore</v>
      </c>
    </row>
    <row r="13" spans="1:8" x14ac:dyDescent="0.2">
      <c r="A13">
        <v>24510250204</v>
      </c>
      <c r="B13" t="s">
        <v>110</v>
      </c>
      <c r="C13" s="7">
        <v>0.90620000000000001</v>
      </c>
      <c r="D13">
        <f>VLOOKUP(A13,bmore_income!$A$2:$C$324,3,FALSE)</f>
        <v>16789</v>
      </c>
      <c r="H13" t="str">
        <f t="shared" si="0"/>
        <v xml:space="preserve"> Baltimore</v>
      </c>
    </row>
    <row r="14" spans="1:8" x14ac:dyDescent="0.2">
      <c r="A14">
        <v>24510140300</v>
      </c>
      <c r="B14" t="s">
        <v>143</v>
      </c>
      <c r="C14" s="7">
        <v>0.88349999999999995</v>
      </c>
      <c r="D14">
        <f>VLOOKUP(A14,bmore_income!$A$2:$C$324,3,FALSE)</f>
        <v>16874</v>
      </c>
      <c r="H14" t="str">
        <f t="shared" si="0"/>
        <v xml:space="preserve"> Baltimore</v>
      </c>
    </row>
    <row r="15" spans="1:8" x14ac:dyDescent="0.2">
      <c r="A15">
        <v>24510040200</v>
      </c>
      <c r="B15" t="s">
        <v>58</v>
      </c>
      <c r="C15" s="7">
        <v>0.78080000000000005</v>
      </c>
      <c r="D15">
        <f>VLOOKUP(A15,bmore_income!$A$2:$C$324,3,FALSE)</f>
        <v>16877</v>
      </c>
      <c r="H15" t="str">
        <f t="shared" si="0"/>
        <v xml:space="preserve"> Baltimore</v>
      </c>
    </row>
    <row r="16" spans="1:8" x14ac:dyDescent="0.2">
      <c r="A16">
        <v>24510190100</v>
      </c>
      <c r="B16" t="s">
        <v>145</v>
      </c>
      <c r="C16" s="7">
        <v>0.90339999999999998</v>
      </c>
      <c r="D16">
        <f>VLOOKUP(A16,bmore_income!$A$2:$C$324,3,FALSE)</f>
        <v>16972</v>
      </c>
      <c r="H16" t="str">
        <f t="shared" si="0"/>
        <v xml:space="preserve"> Baltimore</v>
      </c>
    </row>
    <row r="17" spans="1:8" x14ac:dyDescent="0.2">
      <c r="A17">
        <v>24510150100</v>
      </c>
      <c r="B17" t="s">
        <v>127</v>
      </c>
      <c r="C17" s="7">
        <v>0.94479999999999997</v>
      </c>
      <c r="D17">
        <f>VLOOKUP(A17,bmore_income!$A$2:$C$324,3,FALSE)</f>
        <v>16983</v>
      </c>
      <c r="H17" t="str">
        <f t="shared" si="0"/>
        <v xml:space="preserve"> Baltimore</v>
      </c>
    </row>
    <row r="18" spans="1:8" x14ac:dyDescent="0.2">
      <c r="A18">
        <v>24510260303</v>
      </c>
      <c r="B18" t="s">
        <v>142</v>
      </c>
      <c r="C18" s="7">
        <v>0.8669</v>
      </c>
      <c r="D18">
        <f>VLOOKUP(A18,bmore_income!$A$2:$C$324,3,FALSE)</f>
        <v>17118</v>
      </c>
      <c r="H18" t="str">
        <f t="shared" si="0"/>
        <v xml:space="preserve"> Baltimore</v>
      </c>
    </row>
    <row r="19" spans="1:8" x14ac:dyDescent="0.2">
      <c r="A19">
        <v>24510170300</v>
      </c>
      <c r="B19" t="s">
        <v>136</v>
      </c>
      <c r="C19" s="7">
        <v>0.871</v>
      </c>
      <c r="D19">
        <f>VLOOKUP(A19,bmore_income!$A$2:$C$324,3,FALSE)</f>
        <v>17127</v>
      </c>
      <c r="H19" t="str">
        <f t="shared" si="0"/>
        <v xml:space="preserve"> Baltimore</v>
      </c>
    </row>
    <row r="20" spans="1:8" x14ac:dyDescent="0.2">
      <c r="A20">
        <v>24510260604</v>
      </c>
      <c r="B20" t="s">
        <v>135</v>
      </c>
      <c r="C20" s="7">
        <v>0.88270000000000004</v>
      </c>
      <c r="D20">
        <f>VLOOKUP(A20,bmore_income!$A$2:$C$324,3,FALSE)</f>
        <v>17340</v>
      </c>
      <c r="H20" t="str">
        <f t="shared" si="0"/>
        <v xml:space="preserve"> Baltimore</v>
      </c>
    </row>
    <row r="21" spans="1:8" hidden="1" x14ac:dyDescent="0.2">
      <c r="A21">
        <v>24510070100</v>
      </c>
      <c r="B21" t="s">
        <v>3</v>
      </c>
      <c r="C21">
        <v>0.90349999999999997</v>
      </c>
      <c r="H21" t="e">
        <f t="shared" si="0"/>
        <v>#VALUE!</v>
      </c>
    </row>
    <row r="22" spans="1:8" x14ac:dyDescent="0.2">
      <c r="A22">
        <v>24510250301</v>
      </c>
      <c r="B22" t="s">
        <v>140</v>
      </c>
      <c r="C22" s="7">
        <v>0.89690000000000003</v>
      </c>
      <c r="D22">
        <f>VLOOKUP(A22,bmore_income!$A$2:$C$324,3,FALSE)</f>
        <v>17370</v>
      </c>
      <c r="H22" t="str">
        <f t="shared" si="0"/>
        <v xml:space="preserve"> Baltimore</v>
      </c>
    </row>
    <row r="23" spans="1:8" x14ac:dyDescent="0.2">
      <c r="A23">
        <v>24510250600</v>
      </c>
      <c r="B23" t="s">
        <v>47</v>
      </c>
      <c r="C23" s="7">
        <v>0.83699999999999997</v>
      </c>
      <c r="D23">
        <f>VLOOKUP(A23,bmore_income!$A$2:$C$324,3,FALSE)</f>
        <v>17457</v>
      </c>
      <c r="H23" t="str">
        <f t="shared" si="0"/>
        <v xml:space="preserve"> Baltimore</v>
      </c>
    </row>
    <row r="24" spans="1:8" x14ac:dyDescent="0.2">
      <c r="A24">
        <v>24510100100</v>
      </c>
      <c r="B24" t="s">
        <v>147</v>
      </c>
      <c r="C24" s="7">
        <v>0.90310000000000001</v>
      </c>
      <c r="D24">
        <f>VLOOKUP(A24,bmore_income!$A$2:$C$324,3,FALSE)</f>
        <v>17684</v>
      </c>
      <c r="H24" t="str">
        <f t="shared" si="0"/>
        <v xml:space="preserve"> Baltimore</v>
      </c>
    </row>
    <row r="25" spans="1:8" x14ac:dyDescent="0.2">
      <c r="A25">
        <v>24510280500</v>
      </c>
      <c r="B25" t="s">
        <v>144</v>
      </c>
      <c r="C25" s="7">
        <v>0.90400000000000003</v>
      </c>
      <c r="D25">
        <f>VLOOKUP(A25,bmore_income!$A$2:$C$324,3,FALSE)</f>
        <v>17719</v>
      </c>
      <c r="H25" t="str">
        <f t="shared" si="0"/>
        <v xml:space="preserve"> Baltimore</v>
      </c>
    </row>
    <row r="26" spans="1:8" hidden="1" x14ac:dyDescent="0.2">
      <c r="A26">
        <v>24510100200</v>
      </c>
      <c r="B26" t="s">
        <v>3</v>
      </c>
      <c r="C26">
        <v>0.89970000000000006</v>
      </c>
      <c r="H26" t="e">
        <f t="shared" si="0"/>
        <v>#VALUE!</v>
      </c>
    </row>
    <row r="27" spans="1:8" x14ac:dyDescent="0.2">
      <c r="A27">
        <v>24510080700</v>
      </c>
      <c r="B27" t="s">
        <v>123</v>
      </c>
      <c r="C27" s="7">
        <v>0.89490000000000003</v>
      </c>
      <c r="D27">
        <f>VLOOKUP(A27,bmore_income!$A$2:$C$324,3,FALSE)</f>
        <v>17786</v>
      </c>
      <c r="H27" t="str">
        <f t="shared" si="0"/>
        <v xml:space="preserve"> Baltimore</v>
      </c>
    </row>
    <row r="28" spans="1:8" x14ac:dyDescent="0.2">
      <c r="A28">
        <v>24510170200</v>
      </c>
      <c r="B28" t="s">
        <v>141</v>
      </c>
      <c r="C28" s="7">
        <v>0.88819999999999999</v>
      </c>
      <c r="D28">
        <f>VLOOKUP(A28,bmore_income!$A$2:$C$324,3,FALSE)</f>
        <v>17947</v>
      </c>
      <c r="H28" t="str">
        <f t="shared" si="0"/>
        <v xml:space="preserve"> Baltimore</v>
      </c>
    </row>
    <row r="29" spans="1:8" x14ac:dyDescent="0.2">
      <c r="A29">
        <v>24510080200</v>
      </c>
      <c r="B29" t="s">
        <v>123</v>
      </c>
      <c r="C29" s="7">
        <v>0.91849999999999998</v>
      </c>
      <c r="D29">
        <f>VLOOKUP(A29,bmore_income!$A$2:$C$324,3,FALSE)</f>
        <v>18131</v>
      </c>
      <c r="H29" t="str">
        <f t="shared" si="0"/>
        <v xml:space="preserve"> Baltimore</v>
      </c>
    </row>
    <row r="30" spans="1:8" x14ac:dyDescent="0.2">
      <c r="A30">
        <v>24510090900</v>
      </c>
      <c r="B30" t="s">
        <v>139</v>
      </c>
      <c r="C30" s="7">
        <v>0.89649999999999996</v>
      </c>
      <c r="D30">
        <f>VLOOKUP(A30,bmore_income!$A$2:$C$324,3,FALSE)</f>
        <v>18262</v>
      </c>
      <c r="H30" t="str">
        <f t="shared" si="0"/>
        <v xml:space="preserve"> Baltimore</v>
      </c>
    </row>
    <row r="31" spans="1:8" x14ac:dyDescent="0.2">
      <c r="A31">
        <v>24510230300</v>
      </c>
      <c r="B31" t="s">
        <v>54</v>
      </c>
      <c r="C31" s="7">
        <v>0.872</v>
      </c>
      <c r="D31">
        <f>VLOOKUP(A31,bmore_income!$A$2:$C$324,3,FALSE)</f>
        <v>18388</v>
      </c>
      <c r="H31" t="str">
        <f t="shared" si="0"/>
        <v xml:space="preserve"> Baltimore</v>
      </c>
    </row>
    <row r="32" spans="1:8" x14ac:dyDescent="0.2">
      <c r="A32">
        <v>24510250500</v>
      </c>
      <c r="B32" t="s">
        <v>90</v>
      </c>
      <c r="C32" s="7">
        <v>0.76429999999999998</v>
      </c>
      <c r="D32">
        <f>VLOOKUP(A32,bmore_income!$A$2:$C$324,3,FALSE)</f>
        <v>18416</v>
      </c>
      <c r="H32" t="str">
        <f t="shared" si="0"/>
        <v xml:space="preserve"> Baltimore</v>
      </c>
    </row>
    <row r="33" spans="1:8" x14ac:dyDescent="0.2">
      <c r="A33">
        <v>24510080301</v>
      </c>
      <c r="B33" t="s">
        <v>113</v>
      </c>
      <c r="C33" s="7">
        <v>0.872</v>
      </c>
      <c r="D33">
        <f>VLOOKUP(A33,bmore_income!$A$2:$C$324,3,FALSE)</f>
        <v>18460</v>
      </c>
      <c r="H33" t="str">
        <f t="shared" si="0"/>
        <v xml:space="preserve"> Baltimore</v>
      </c>
    </row>
    <row r="34" spans="1:8" x14ac:dyDescent="0.2">
      <c r="A34">
        <v>24510160100</v>
      </c>
      <c r="B34" t="s">
        <v>126</v>
      </c>
      <c r="C34" s="7">
        <v>0.8841</v>
      </c>
      <c r="D34">
        <f>VLOOKUP(A34,bmore_income!$A$2:$C$324,3,FALSE)</f>
        <v>18483</v>
      </c>
      <c r="H34" t="str">
        <f t="shared" si="0"/>
        <v xml:space="preserve"> Baltimore</v>
      </c>
    </row>
    <row r="35" spans="1:8" x14ac:dyDescent="0.2">
      <c r="A35">
        <v>24510090800</v>
      </c>
      <c r="B35" t="s">
        <v>134</v>
      </c>
      <c r="C35" s="7">
        <v>0.89590000000000003</v>
      </c>
      <c r="D35">
        <f>VLOOKUP(A35,bmore_income!$A$2:$C$324,3,FALSE)</f>
        <v>18484</v>
      </c>
      <c r="H35" t="str">
        <f t="shared" si="0"/>
        <v xml:space="preserve"> Baltimore</v>
      </c>
    </row>
    <row r="36" spans="1:8" x14ac:dyDescent="0.2">
      <c r="A36">
        <v>24510200200</v>
      </c>
      <c r="B36" t="s">
        <v>115</v>
      </c>
      <c r="C36" s="7">
        <v>0.92789999999999995</v>
      </c>
      <c r="D36">
        <f>VLOOKUP(A36,bmore_income!$A$2:$C$324,3,FALSE)</f>
        <v>18492</v>
      </c>
      <c r="H36" t="str">
        <f t="shared" si="0"/>
        <v xml:space="preserve"> Baltimore</v>
      </c>
    </row>
    <row r="37" spans="1:8" x14ac:dyDescent="0.2">
      <c r="A37">
        <v>24510140200</v>
      </c>
      <c r="B37" t="s">
        <v>136</v>
      </c>
      <c r="C37" s="7">
        <v>0.91459999999999997</v>
      </c>
      <c r="D37">
        <f>VLOOKUP(A37,bmore_income!$A$2:$C$324,3,FALSE)</f>
        <v>18504</v>
      </c>
      <c r="H37" t="str">
        <f t="shared" si="0"/>
        <v xml:space="preserve"> Baltimore</v>
      </c>
    </row>
    <row r="38" spans="1:8" x14ac:dyDescent="0.2">
      <c r="A38">
        <v>24510070200</v>
      </c>
      <c r="B38" t="s">
        <v>130</v>
      </c>
      <c r="C38" s="7">
        <v>0.91090000000000004</v>
      </c>
      <c r="D38">
        <f>VLOOKUP(A38,bmore_income!$A$2:$C$324,3,FALSE)</f>
        <v>18511</v>
      </c>
      <c r="H38" t="str">
        <f t="shared" si="0"/>
        <v xml:space="preserve"> Baltimore</v>
      </c>
    </row>
    <row r="39" spans="1:8" x14ac:dyDescent="0.2">
      <c r="A39">
        <v>24510070400</v>
      </c>
      <c r="B39" t="s">
        <v>137</v>
      </c>
      <c r="C39" s="7">
        <v>0.89119999999999999</v>
      </c>
      <c r="D39">
        <f>VLOOKUP(A39,bmore_income!$A$2:$C$324,3,FALSE)</f>
        <v>18694</v>
      </c>
      <c r="H39" t="str">
        <f t="shared" si="0"/>
        <v xml:space="preserve"> Baltimore</v>
      </c>
    </row>
    <row r="40" spans="1:8" x14ac:dyDescent="0.2">
      <c r="A40">
        <v>24510030100</v>
      </c>
      <c r="B40" t="s">
        <v>131</v>
      </c>
      <c r="C40" s="7">
        <v>0.90010000000000001</v>
      </c>
      <c r="D40">
        <f>VLOOKUP(A40,bmore_income!$A$2:$C$324,3,FALSE)</f>
        <v>18742</v>
      </c>
      <c r="H40" t="str">
        <f t="shared" si="0"/>
        <v xml:space="preserve"> Baltimore</v>
      </c>
    </row>
    <row r="41" spans="1:8" x14ac:dyDescent="0.2">
      <c r="A41">
        <v>24510250402</v>
      </c>
      <c r="B41" t="s">
        <v>47</v>
      </c>
      <c r="C41" s="7">
        <v>0.77359999999999995</v>
      </c>
      <c r="D41">
        <f>VLOOKUP(A41,bmore_income!$A$2:$C$324,3,FALSE)</f>
        <v>18786</v>
      </c>
      <c r="H41" t="str">
        <f t="shared" si="0"/>
        <v xml:space="preserve"> Baltimore</v>
      </c>
    </row>
    <row r="42" spans="1:8" x14ac:dyDescent="0.2">
      <c r="A42">
        <v>24510150400</v>
      </c>
      <c r="B42" t="s">
        <v>125</v>
      </c>
      <c r="C42" s="7">
        <v>0.9042</v>
      </c>
      <c r="D42">
        <f>VLOOKUP(A42,bmore_income!$A$2:$C$324,3,FALSE)</f>
        <v>18821</v>
      </c>
      <c r="H42" t="str">
        <f t="shared" si="0"/>
        <v xml:space="preserve"> Baltimore</v>
      </c>
    </row>
    <row r="43" spans="1:8" x14ac:dyDescent="0.2">
      <c r="A43">
        <v>24510120500</v>
      </c>
      <c r="B43" t="s">
        <v>119</v>
      </c>
      <c r="C43" s="7">
        <v>0.90159999999999996</v>
      </c>
      <c r="D43">
        <f>VLOOKUP(A43,bmore_income!$A$2:$C$324,3,FALSE)</f>
        <v>18824</v>
      </c>
      <c r="H43" t="str">
        <f t="shared" si="0"/>
        <v xml:space="preserve"> Baltimore</v>
      </c>
    </row>
    <row r="44" spans="1:8" x14ac:dyDescent="0.2">
      <c r="A44">
        <v>24510210200</v>
      </c>
      <c r="B44" t="s">
        <v>86</v>
      </c>
      <c r="C44" s="7">
        <v>0.85809999999999997</v>
      </c>
      <c r="D44">
        <f>VLOOKUP(A44,bmore_income!$A$2:$C$324,3,FALSE)</f>
        <v>18843</v>
      </c>
      <c r="H44" t="str">
        <f t="shared" si="0"/>
        <v xml:space="preserve"> Baltimore</v>
      </c>
    </row>
    <row r="45" spans="1:8" x14ac:dyDescent="0.2">
      <c r="A45">
        <v>24510150600</v>
      </c>
      <c r="B45" t="s">
        <v>128</v>
      </c>
      <c r="C45" s="7">
        <v>0.8972</v>
      </c>
      <c r="D45">
        <f>VLOOKUP(A45,bmore_income!$A$2:$C$324,3,FALSE)</f>
        <v>18863</v>
      </c>
      <c r="H45" t="str">
        <f t="shared" si="0"/>
        <v xml:space="preserve"> Baltimore</v>
      </c>
    </row>
    <row r="46" spans="1:8" x14ac:dyDescent="0.2">
      <c r="A46">
        <v>24510160300</v>
      </c>
      <c r="B46" t="s">
        <v>127</v>
      </c>
      <c r="C46" s="7">
        <v>0.89929999999999999</v>
      </c>
      <c r="D46">
        <f>VLOOKUP(A46,bmore_income!$A$2:$C$324,3,FALSE)</f>
        <v>18970</v>
      </c>
      <c r="H46" t="str">
        <f t="shared" si="0"/>
        <v xml:space="preserve"> Baltimore</v>
      </c>
    </row>
    <row r="47" spans="1:8" x14ac:dyDescent="0.2">
      <c r="A47">
        <v>24510180300</v>
      </c>
      <c r="B47" t="s">
        <v>108</v>
      </c>
      <c r="C47" s="7">
        <v>0.86419999999999997</v>
      </c>
      <c r="D47">
        <f>VLOOKUP(A47,bmore_income!$A$2:$C$324,3,FALSE)</f>
        <v>19083</v>
      </c>
      <c r="H47" t="str">
        <f t="shared" si="0"/>
        <v xml:space="preserve"> Baltimore</v>
      </c>
    </row>
    <row r="48" spans="1:8" x14ac:dyDescent="0.2">
      <c r="A48">
        <v>24510150200</v>
      </c>
      <c r="B48" t="s">
        <v>127</v>
      </c>
      <c r="C48" s="7">
        <v>0.90449999999999997</v>
      </c>
      <c r="D48">
        <f>VLOOKUP(A48,bmore_income!$A$2:$C$324,3,FALSE)</f>
        <v>19198</v>
      </c>
      <c r="H48" t="str">
        <f t="shared" si="0"/>
        <v xml:space="preserve"> Baltimore</v>
      </c>
    </row>
    <row r="49" spans="1:8" x14ac:dyDescent="0.2">
      <c r="A49">
        <v>24510160200</v>
      </c>
      <c r="B49" t="s">
        <v>127</v>
      </c>
      <c r="C49" s="7">
        <v>0.9204</v>
      </c>
      <c r="D49">
        <f>VLOOKUP(A49,bmore_income!$A$2:$C$324,3,FALSE)</f>
        <v>19207</v>
      </c>
      <c r="H49" t="str">
        <f t="shared" si="0"/>
        <v xml:space="preserve"> Baltimore</v>
      </c>
    </row>
    <row r="50" spans="1:8" x14ac:dyDescent="0.2">
      <c r="A50">
        <v>24510260404</v>
      </c>
      <c r="B50" t="s">
        <v>68</v>
      </c>
      <c r="C50" s="7">
        <v>0.84950000000000003</v>
      </c>
      <c r="D50">
        <f>VLOOKUP(A50,bmore_income!$A$2:$C$324,3,FALSE)</f>
        <v>19267</v>
      </c>
      <c r="H50" t="str">
        <f t="shared" si="0"/>
        <v xml:space="preserve"> Baltimore</v>
      </c>
    </row>
    <row r="51" spans="1:8" x14ac:dyDescent="0.2">
      <c r="A51">
        <v>24510080400</v>
      </c>
      <c r="B51" t="s">
        <v>123</v>
      </c>
      <c r="C51" s="7">
        <v>0.89410000000000001</v>
      </c>
      <c r="D51">
        <f>VLOOKUP(A51,bmore_income!$A$2:$C$324,3,FALSE)</f>
        <v>19277</v>
      </c>
      <c r="H51" t="str">
        <f t="shared" si="0"/>
        <v xml:space="preserve"> Baltimore</v>
      </c>
    </row>
    <row r="52" spans="1:8" x14ac:dyDescent="0.2">
      <c r="A52">
        <v>24510130300</v>
      </c>
      <c r="B52" t="s">
        <v>124</v>
      </c>
      <c r="C52" s="7">
        <v>0.91120000000000001</v>
      </c>
      <c r="D52">
        <f>VLOOKUP(A52,bmore_income!$A$2:$C$324,3,FALSE)</f>
        <v>19321</v>
      </c>
      <c r="H52" t="str">
        <f t="shared" si="0"/>
        <v xml:space="preserve"> Baltimore</v>
      </c>
    </row>
    <row r="53" spans="1:8" x14ac:dyDescent="0.2">
      <c r="A53">
        <v>24510120600</v>
      </c>
      <c r="B53" t="s">
        <v>99</v>
      </c>
      <c r="C53" s="7">
        <v>0.83579999999999999</v>
      </c>
      <c r="D53">
        <f>VLOOKUP(A53,bmore_income!$A$2:$C$324,3,FALSE)</f>
        <v>19414</v>
      </c>
      <c r="H53" t="str">
        <f t="shared" si="0"/>
        <v xml:space="preserve"> Baltimore</v>
      </c>
    </row>
    <row r="54" spans="1:8" x14ac:dyDescent="0.2">
      <c r="A54">
        <v>24510271802</v>
      </c>
      <c r="B54" t="s">
        <v>121</v>
      </c>
      <c r="C54" s="7">
        <v>0.87239999999999995</v>
      </c>
      <c r="D54">
        <f>VLOOKUP(A54,bmore_income!$A$2:$C$324,3,FALSE)</f>
        <v>19455</v>
      </c>
      <c r="H54" t="str">
        <f t="shared" si="0"/>
        <v xml:space="preserve"> Baltimore</v>
      </c>
    </row>
    <row r="55" spans="1:8" x14ac:dyDescent="0.2">
      <c r="A55">
        <v>24510120700</v>
      </c>
      <c r="B55" t="s">
        <v>87</v>
      </c>
      <c r="C55" s="7">
        <v>0.77980000000000005</v>
      </c>
      <c r="D55">
        <f>VLOOKUP(A55,bmore_income!$A$2:$C$324,3,FALSE)</f>
        <v>19475</v>
      </c>
      <c r="H55" t="str">
        <f t="shared" si="0"/>
        <v xml:space="preserve"> Baltimore</v>
      </c>
    </row>
    <row r="56" spans="1:8" x14ac:dyDescent="0.2">
      <c r="A56">
        <v>24510160700</v>
      </c>
      <c r="B56" t="s">
        <v>114</v>
      </c>
      <c r="C56" s="7">
        <v>0.87019999999999997</v>
      </c>
      <c r="D56">
        <f>VLOOKUP(A56,bmore_income!$A$2:$C$324,3,FALSE)</f>
        <v>19546</v>
      </c>
      <c r="H56" t="str">
        <f t="shared" si="0"/>
        <v xml:space="preserve"> Baltimore</v>
      </c>
    </row>
    <row r="57" spans="1:8" x14ac:dyDescent="0.2">
      <c r="A57">
        <v>24510160400</v>
      </c>
      <c r="B57" t="s">
        <v>132</v>
      </c>
      <c r="C57" s="7">
        <v>0.8851</v>
      </c>
      <c r="D57">
        <f>VLOOKUP(A57,bmore_income!$A$2:$C$324,3,FALSE)</f>
        <v>19575</v>
      </c>
      <c r="H57" t="str">
        <f t="shared" si="0"/>
        <v xml:space="preserve"> Baltimore</v>
      </c>
    </row>
    <row r="58" spans="1:8" x14ac:dyDescent="0.2">
      <c r="A58">
        <v>24510110100</v>
      </c>
      <c r="B58" t="s">
        <v>58</v>
      </c>
      <c r="C58" s="7">
        <v>0.66569999999999996</v>
      </c>
      <c r="D58">
        <f>VLOOKUP(A58,bmore_income!$A$2:$C$324,3,FALSE)</f>
        <v>19623</v>
      </c>
      <c r="H58" t="str">
        <f t="shared" si="0"/>
        <v xml:space="preserve"> Baltimore</v>
      </c>
    </row>
    <row r="59" spans="1:8" x14ac:dyDescent="0.2">
      <c r="A59">
        <v>24510060300</v>
      </c>
      <c r="B59" t="s">
        <v>122</v>
      </c>
      <c r="C59" s="7">
        <v>0.871</v>
      </c>
      <c r="D59">
        <f>VLOOKUP(A59,bmore_income!$A$2:$C$324,3,FALSE)</f>
        <v>19672</v>
      </c>
      <c r="H59" t="str">
        <f t="shared" si="0"/>
        <v xml:space="preserve"> Baltimore</v>
      </c>
    </row>
    <row r="60" spans="1:8" x14ac:dyDescent="0.2">
      <c r="A60">
        <v>24510150300</v>
      </c>
      <c r="B60" t="s">
        <v>106</v>
      </c>
      <c r="C60" s="7">
        <v>0.92100000000000004</v>
      </c>
      <c r="D60">
        <f>VLOOKUP(A60,bmore_income!$A$2:$C$324,3,FALSE)</f>
        <v>19755</v>
      </c>
      <c r="H60" t="str">
        <f t="shared" si="0"/>
        <v xml:space="preserve"> Baltimore</v>
      </c>
    </row>
    <row r="61" spans="1:8" x14ac:dyDescent="0.2">
      <c r="A61">
        <v>24510080600</v>
      </c>
      <c r="B61" t="s">
        <v>123</v>
      </c>
      <c r="C61" s="7">
        <v>0.87980000000000003</v>
      </c>
      <c r="D61">
        <f>VLOOKUP(A61,bmore_income!$A$2:$C$324,3,FALSE)</f>
        <v>19946</v>
      </c>
      <c r="H61" t="str">
        <f t="shared" si="0"/>
        <v xml:space="preserve"> Baltimore</v>
      </c>
    </row>
    <row r="62" spans="1:8" x14ac:dyDescent="0.2">
      <c r="A62">
        <v>24510151300</v>
      </c>
      <c r="B62" t="s">
        <v>97</v>
      </c>
      <c r="C62" s="7">
        <v>0.88900000000000001</v>
      </c>
      <c r="D62">
        <f>VLOOKUP(A62,bmore_income!$A$2:$C$324,3,FALSE)</f>
        <v>19963</v>
      </c>
      <c r="H62" t="str">
        <f t="shared" si="0"/>
        <v xml:space="preserve"> Baltimore</v>
      </c>
    </row>
    <row r="63" spans="1:8" x14ac:dyDescent="0.2">
      <c r="A63">
        <v>24510250203</v>
      </c>
      <c r="B63" t="s">
        <v>110</v>
      </c>
      <c r="C63" s="7">
        <v>0.86619999999999997</v>
      </c>
      <c r="D63">
        <f>VLOOKUP(A63,bmore_income!$A$2:$C$324,3,FALSE)</f>
        <v>20019</v>
      </c>
      <c r="H63" t="str">
        <f t="shared" si="0"/>
        <v xml:space="preserve"> Baltimore</v>
      </c>
    </row>
    <row r="64" spans="1:8" x14ac:dyDescent="0.2">
      <c r="A64">
        <v>24510130200</v>
      </c>
      <c r="B64" t="s">
        <v>117</v>
      </c>
      <c r="C64" s="7">
        <v>0.88980000000000004</v>
      </c>
      <c r="D64">
        <f>VLOOKUP(A64,bmore_income!$A$2:$C$324,3,FALSE)</f>
        <v>20187</v>
      </c>
      <c r="H64" t="str">
        <f t="shared" si="0"/>
        <v xml:space="preserve"> Baltimore</v>
      </c>
    </row>
    <row r="65" spans="1:8" x14ac:dyDescent="0.2">
      <c r="A65">
        <v>24510261000</v>
      </c>
      <c r="B65" t="s">
        <v>65</v>
      </c>
      <c r="C65" s="7">
        <v>0.85540000000000005</v>
      </c>
      <c r="D65">
        <f>VLOOKUP(A65,bmore_income!$A$2:$C$324,3,FALSE)</f>
        <v>20252</v>
      </c>
      <c r="H65" t="str">
        <f t="shared" si="0"/>
        <v xml:space="preserve"> Baltimore</v>
      </c>
    </row>
    <row r="66" spans="1:8" x14ac:dyDescent="0.2">
      <c r="A66">
        <v>24510090600</v>
      </c>
      <c r="B66" t="s">
        <v>112</v>
      </c>
      <c r="C66" s="7">
        <v>0.88560000000000005</v>
      </c>
      <c r="D66">
        <f>VLOOKUP(A66,bmore_income!$A$2:$C$324,3,FALSE)</f>
        <v>20409</v>
      </c>
      <c r="H66" t="str">
        <f t="shared" si="0"/>
        <v xml:space="preserve"> Baltimore</v>
      </c>
    </row>
    <row r="67" spans="1:8" x14ac:dyDescent="0.2">
      <c r="A67">
        <v>24510120300</v>
      </c>
      <c r="B67" t="s">
        <v>107</v>
      </c>
      <c r="C67" s="7">
        <v>0.86639999999999995</v>
      </c>
      <c r="D67">
        <f>VLOOKUP(A67,bmore_income!$A$2:$C$324,3,FALSE)</f>
        <v>20647</v>
      </c>
      <c r="H67" t="str">
        <f t="shared" ref="H67:H130" si="1">MID($B67, FIND(",",$B67)+1, FIND(",",$B67,FIND(",",$B67)+1) -1 -FIND(",",$B67))</f>
        <v xml:space="preserve"> Baltimore</v>
      </c>
    </row>
    <row r="68" spans="1:8" x14ac:dyDescent="0.2">
      <c r="A68">
        <v>24510130400</v>
      </c>
      <c r="B68" t="s">
        <v>98</v>
      </c>
      <c r="C68" s="7">
        <v>0.88970000000000005</v>
      </c>
      <c r="D68">
        <f>VLOOKUP(A68,bmore_income!$A$2:$C$324,3,FALSE)</f>
        <v>20784</v>
      </c>
      <c r="H68" t="str">
        <f t="shared" si="1"/>
        <v xml:space="preserve"> Baltimore</v>
      </c>
    </row>
    <row r="69" spans="1:8" x14ac:dyDescent="0.2">
      <c r="A69">
        <v>24510080302</v>
      </c>
      <c r="B69" t="s">
        <v>113</v>
      </c>
      <c r="C69" s="7">
        <v>0.8952</v>
      </c>
      <c r="D69">
        <f>VLOOKUP(A69,bmore_income!$A$2:$C$324,3,FALSE)</f>
        <v>20921</v>
      </c>
      <c r="H69" t="str">
        <f t="shared" si="1"/>
        <v xml:space="preserve"> Baltimore</v>
      </c>
    </row>
    <row r="70" spans="1:8" x14ac:dyDescent="0.2">
      <c r="A70">
        <v>24510080500</v>
      </c>
      <c r="B70" t="s">
        <v>101</v>
      </c>
      <c r="C70" s="7">
        <v>0.9083</v>
      </c>
      <c r="D70">
        <f>VLOOKUP(A70,bmore_income!$A$2:$C$324,3,FALSE)</f>
        <v>20931</v>
      </c>
      <c r="H70" t="str">
        <f t="shared" si="1"/>
        <v xml:space="preserve"> Baltimore</v>
      </c>
    </row>
    <row r="71" spans="1:8" x14ac:dyDescent="0.2">
      <c r="A71">
        <v>24510240300</v>
      </c>
      <c r="B71" t="s">
        <v>19</v>
      </c>
      <c r="C71" s="7">
        <v>0.77900000000000003</v>
      </c>
      <c r="D71">
        <f>VLOOKUP(A71,bmore_income!$A$2:$C$324,3,FALSE)</f>
        <v>20985</v>
      </c>
      <c r="H71" t="str">
        <f t="shared" si="1"/>
        <v xml:space="preserve"> Baltimore</v>
      </c>
    </row>
    <row r="72" spans="1:8" x14ac:dyDescent="0.2">
      <c r="A72">
        <v>24510270701</v>
      </c>
      <c r="B72" t="s">
        <v>36</v>
      </c>
      <c r="C72" s="7">
        <v>0.84760000000000002</v>
      </c>
      <c r="D72">
        <f>VLOOKUP(A72,bmore_income!$A$2:$C$324,3,FALSE)</f>
        <v>21003</v>
      </c>
      <c r="H72" t="str">
        <f t="shared" si="1"/>
        <v xml:space="preserve"> Baltimore</v>
      </c>
    </row>
    <row r="73" spans="1:8" x14ac:dyDescent="0.2">
      <c r="A73">
        <v>24510200702</v>
      </c>
      <c r="B73" t="s">
        <v>100</v>
      </c>
      <c r="C73" s="7">
        <v>0.89190000000000003</v>
      </c>
      <c r="D73">
        <f>VLOOKUP(A73,bmore_income!$A$2:$C$324,3,FALSE)</f>
        <v>21015</v>
      </c>
      <c r="H73" t="str">
        <f t="shared" si="1"/>
        <v xml:space="preserve"> Baltimore</v>
      </c>
    </row>
    <row r="74" spans="1:8" x14ac:dyDescent="0.2">
      <c r="A74">
        <v>24510120400</v>
      </c>
      <c r="B74" t="s">
        <v>120</v>
      </c>
      <c r="C74" s="7">
        <v>0.92500000000000004</v>
      </c>
      <c r="D74">
        <f>VLOOKUP(A74,bmore_income!$A$2:$C$324,3,FALSE)</f>
        <v>21031</v>
      </c>
      <c r="H74" t="str">
        <f t="shared" si="1"/>
        <v xml:space="preserve"> Baltimore</v>
      </c>
    </row>
    <row r="75" spans="1:8" x14ac:dyDescent="0.2">
      <c r="A75">
        <v>24510271600</v>
      </c>
      <c r="B75" t="s">
        <v>116</v>
      </c>
      <c r="C75" s="7">
        <v>0.87519999999999998</v>
      </c>
      <c r="D75">
        <f>VLOOKUP(A75,bmore_income!$A$2:$C$324,3,FALSE)</f>
        <v>21061</v>
      </c>
      <c r="H75" t="str">
        <f t="shared" si="1"/>
        <v xml:space="preserve"> Baltimore</v>
      </c>
    </row>
    <row r="76" spans="1:8" x14ac:dyDescent="0.2">
      <c r="A76">
        <v>24510260401</v>
      </c>
      <c r="B76" t="s">
        <v>69</v>
      </c>
      <c r="C76" s="7">
        <v>0.82509999999999994</v>
      </c>
      <c r="D76">
        <f>VLOOKUP(A76,bmore_income!$A$2:$C$324,3,FALSE)</f>
        <v>21070</v>
      </c>
      <c r="H76" t="str">
        <f t="shared" si="1"/>
        <v xml:space="preserve"> Baltimore</v>
      </c>
    </row>
    <row r="77" spans="1:8" x14ac:dyDescent="0.2">
      <c r="A77">
        <v>24510250205</v>
      </c>
      <c r="B77" t="s">
        <v>82</v>
      </c>
      <c r="C77" s="7">
        <v>0.86550000000000005</v>
      </c>
      <c r="D77">
        <f>VLOOKUP(A77,bmore_income!$A$2:$C$324,3,FALSE)</f>
        <v>21078</v>
      </c>
      <c r="H77" t="str">
        <f t="shared" si="1"/>
        <v xml:space="preserve"> Baltimore</v>
      </c>
    </row>
    <row r="78" spans="1:8" x14ac:dyDescent="0.2">
      <c r="A78">
        <v>24510110200</v>
      </c>
      <c r="B78" t="s">
        <v>58</v>
      </c>
      <c r="C78" s="7">
        <v>0.66769999999999996</v>
      </c>
      <c r="D78">
        <f>VLOOKUP(A78,bmore_income!$A$2:$C$324,3,FALSE)</f>
        <v>21126</v>
      </c>
      <c r="H78" t="str">
        <f t="shared" si="1"/>
        <v xml:space="preserve"> Baltimore</v>
      </c>
    </row>
    <row r="79" spans="1:8" hidden="1" x14ac:dyDescent="0.2">
      <c r="A79">
        <v>24510230100</v>
      </c>
      <c r="B79" t="s">
        <v>3</v>
      </c>
      <c r="C79">
        <v>0.86770000000000003</v>
      </c>
      <c r="H79" t="e">
        <f t="shared" si="1"/>
        <v>#VALUE!</v>
      </c>
    </row>
    <row r="80" spans="1:8" x14ac:dyDescent="0.2">
      <c r="A80">
        <v>24510160802</v>
      </c>
      <c r="B80" t="s">
        <v>95</v>
      </c>
      <c r="C80" s="7">
        <v>0.88319999999999999</v>
      </c>
      <c r="D80">
        <f>VLOOKUP(A80,bmore_income!$A$2:$C$324,3,FALSE)</f>
        <v>21223</v>
      </c>
      <c r="H80" t="str">
        <f t="shared" si="1"/>
        <v xml:space="preserve"> Baltimore</v>
      </c>
    </row>
    <row r="81" spans="1:8" x14ac:dyDescent="0.2">
      <c r="A81">
        <v>24510090700</v>
      </c>
      <c r="B81" t="s">
        <v>112</v>
      </c>
      <c r="C81" s="7">
        <v>0.89739999999999998</v>
      </c>
      <c r="D81">
        <f>VLOOKUP(A81,bmore_income!$A$2:$C$324,3,FALSE)</f>
        <v>21237</v>
      </c>
      <c r="H81" t="str">
        <f t="shared" si="1"/>
        <v xml:space="preserve"> Baltimore</v>
      </c>
    </row>
    <row r="82" spans="1:8" x14ac:dyDescent="0.2">
      <c r="A82">
        <v>24510090500</v>
      </c>
      <c r="B82" t="s">
        <v>93</v>
      </c>
      <c r="C82" s="7">
        <v>0.87470000000000003</v>
      </c>
      <c r="D82">
        <f>VLOOKUP(A82,bmore_income!$A$2:$C$324,3,FALSE)</f>
        <v>21247</v>
      </c>
      <c r="H82" t="str">
        <f t="shared" si="1"/>
        <v xml:space="preserve"> Baltimore</v>
      </c>
    </row>
    <row r="83" spans="1:8" x14ac:dyDescent="0.2">
      <c r="A83">
        <v>24510151200</v>
      </c>
      <c r="B83" t="s">
        <v>109</v>
      </c>
      <c r="C83" s="7">
        <v>0.88660000000000005</v>
      </c>
      <c r="D83">
        <f>VLOOKUP(A83,bmore_income!$A$2:$C$324,3,FALSE)</f>
        <v>21261</v>
      </c>
      <c r="H83" t="str">
        <f t="shared" si="1"/>
        <v xml:space="preserve"> Baltimore</v>
      </c>
    </row>
    <row r="84" spans="1:8" x14ac:dyDescent="0.2">
      <c r="A84">
        <v>24510250207</v>
      </c>
      <c r="B84" t="s">
        <v>110</v>
      </c>
      <c r="C84" s="7">
        <v>0.87829999999999997</v>
      </c>
      <c r="D84">
        <f>VLOOKUP(A84,bmore_income!$A$2:$C$324,3,FALSE)</f>
        <v>21337</v>
      </c>
      <c r="H84" t="str">
        <f t="shared" si="1"/>
        <v xml:space="preserve"> Baltimore</v>
      </c>
    </row>
    <row r="85" spans="1:8" hidden="1" x14ac:dyDescent="0.2">
      <c r="A85">
        <v>24510260900</v>
      </c>
      <c r="B85" t="s">
        <v>3</v>
      </c>
      <c r="C85">
        <v>0.86519999999999997</v>
      </c>
      <c r="H85" t="e">
        <f t="shared" si="1"/>
        <v>#VALUE!</v>
      </c>
    </row>
    <row r="86" spans="1:8" hidden="1" x14ac:dyDescent="0.2">
      <c r="A86">
        <v>24510060400</v>
      </c>
      <c r="B86" t="s">
        <v>3</v>
      </c>
      <c r="C86">
        <v>0.86460000000000004</v>
      </c>
      <c r="H86" t="e">
        <f t="shared" si="1"/>
        <v>#VALUE!</v>
      </c>
    </row>
    <row r="87" spans="1:8" x14ac:dyDescent="0.2">
      <c r="A87">
        <v>24510271801</v>
      </c>
      <c r="B87" t="s">
        <v>104</v>
      </c>
      <c r="C87" s="7">
        <v>0.87219999999999998</v>
      </c>
      <c r="D87">
        <f>VLOOKUP(A87,bmore_income!$A$2:$C$324,3,FALSE)</f>
        <v>21359</v>
      </c>
      <c r="H87" t="str">
        <f t="shared" si="1"/>
        <v xml:space="preserve"> Baltimore</v>
      </c>
    </row>
    <row r="88" spans="1:8" x14ac:dyDescent="0.2">
      <c r="A88">
        <v>24510080102</v>
      </c>
      <c r="B88" t="s">
        <v>62</v>
      </c>
      <c r="C88" s="7">
        <v>0.89670000000000005</v>
      </c>
      <c r="D88">
        <f>VLOOKUP(A88,bmore_income!$A$2:$C$324,3,FALSE)</f>
        <v>21515</v>
      </c>
      <c r="H88" t="str">
        <f t="shared" si="1"/>
        <v xml:space="preserve"> Baltimore</v>
      </c>
    </row>
    <row r="89" spans="1:8" x14ac:dyDescent="0.2">
      <c r="A89">
        <v>24510160600</v>
      </c>
      <c r="B89" t="s">
        <v>105</v>
      </c>
      <c r="C89" s="7">
        <v>0.9073</v>
      </c>
      <c r="D89">
        <f>VLOOKUP(A89,bmore_income!$A$2:$C$324,3,FALSE)</f>
        <v>21565</v>
      </c>
      <c r="H89" t="str">
        <f t="shared" si="1"/>
        <v xml:space="preserve"> Baltimore</v>
      </c>
    </row>
    <row r="90" spans="1:8" x14ac:dyDescent="0.2">
      <c r="A90">
        <v>24510020200</v>
      </c>
      <c r="B90" t="s">
        <v>57</v>
      </c>
      <c r="C90" s="7">
        <v>0.78769999999999996</v>
      </c>
      <c r="D90">
        <f>VLOOKUP(A90,bmore_income!$A$2:$C$324,3,FALSE)</f>
        <v>21577</v>
      </c>
      <c r="H90" t="str">
        <f t="shared" si="1"/>
        <v xml:space="preserve"> Baltimore</v>
      </c>
    </row>
    <row r="91" spans="1:8" hidden="1" x14ac:dyDescent="0.2">
      <c r="A91">
        <v>24005430104</v>
      </c>
      <c r="B91" t="s">
        <v>33</v>
      </c>
      <c r="C91">
        <v>0.86050000000000004</v>
      </c>
      <c r="H91" t="str">
        <f t="shared" si="1"/>
        <v xml:space="preserve"> Halethorpe</v>
      </c>
    </row>
    <row r="92" spans="1:8" x14ac:dyDescent="0.2">
      <c r="A92">
        <v>24510260301</v>
      </c>
      <c r="B92" t="s">
        <v>62</v>
      </c>
      <c r="C92" s="7">
        <v>0.88</v>
      </c>
      <c r="D92">
        <f>VLOOKUP(A92,bmore_income!$A$2:$C$324,3,FALSE)</f>
        <v>21636</v>
      </c>
      <c r="H92" t="str">
        <f t="shared" si="1"/>
        <v xml:space="preserve"> Baltimore</v>
      </c>
    </row>
    <row r="93" spans="1:8" x14ac:dyDescent="0.2">
      <c r="A93">
        <v>24510160500</v>
      </c>
      <c r="B93" t="s">
        <v>111</v>
      </c>
      <c r="C93" s="7">
        <v>0.87639999999999996</v>
      </c>
      <c r="D93">
        <f>VLOOKUP(A93,bmore_income!$A$2:$C$324,3,FALSE)</f>
        <v>21639</v>
      </c>
      <c r="H93" t="str">
        <f t="shared" si="1"/>
        <v xml:space="preserve"> Baltimore</v>
      </c>
    </row>
    <row r="94" spans="1:8" hidden="1" x14ac:dyDescent="0.2">
      <c r="A94">
        <v>24510271001</v>
      </c>
      <c r="B94" t="s">
        <v>3</v>
      </c>
      <c r="C94">
        <v>0.85929999999999995</v>
      </c>
      <c r="H94" t="e">
        <f t="shared" si="1"/>
        <v>#VALUE!</v>
      </c>
    </row>
    <row r="95" spans="1:8" x14ac:dyDescent="0.2">
      <c r="A95">
        <v>24510090400</v>
      </c>
      <c r="B95" t="s">
        <v>93</v>
      </c>
      <c r="C95" s="7">
        <v>0.83360000000000001</v>
      </c>
      <c r="D95">
        <f>VLOOKUP(A95,bmore_income!$A$2:$C$324,3,FALSE)</f>
        <v>21902</v>
      </c>
      <c r="H95" t="str">
        <f t="shared" si="1"/>
        <v xml:space="preserve"> Baltimore</v>
      </c>
    </row>
    <row r="96" spans="1:8" x14ac:dyDescent="0.2">
      <c r="A96">
        <v>24510151000</v>
      </c>
      <c r="B96" t="s">
        <v>96</v>
      </c>
      <c r="C96" s="7">
        <v>0.86429999999999996</v>
      </c>
      <c r="D96">
        <f>VLOOKUP(A96,bmore_income!$A$2:$C$324,3,FALSE)</f>
        <v>22013</v>
      </c>
      <c r="H96" t="str">
        <f t="shared" si="1"/>
        <v xml:space="preserve"> Baltimore</v>
      </c>
    </row>
    <row r="97" spans="1:8" x14ac:dyDescent="0.2">
      <c r="A97">
        <v>24510260800</v>
      </c>
      <c r="B97" t="s">
        <v>68</v>
      </c>
      <c r="C97" s="7">
        <v>0.8296</v>
      </c>
      <c r="D97">
        <f>VLOOKUP(A97,bmore_income!$A$2:$C$324,3,FALSE)</f>
        <v>22071</v>
      </c>
      <c r="H97" t="str">
        <f t="shared" si="1"/>
        <v xml:space="preserve"> Baltimore</v>
      </c>
    </row>
    <row r="98" spans="1:8" x14ac:dyDescent="0.2">
      <c r="A98">
        <v>24510280101</v>
      </c>
      <c r="B98" t="s">
        <v>94</v>
      </c>
      <c r="C98" s="7">
        <v>0.83720000000000006</v>
      </c>
      <c r="D98">
        <f>VLOOKUP(A98,bmore_income!$A$2:$C$324,3,FALSE)</f>
        <v>22077</v>
      </c>
      <c r="H98" t="str">
        <f t="shared" si="1"/>
        <v xml:space="preserve"> Baltimore</v>
      </c>
    </row>
    <row r="99" spans="1:8" x14ac:dyDescent="0.2">
      <c r="A99">
        <v>24510260403</v>
      </c>
      <c r="B99" t="s">
        <v>103</v>
      </c>
      <c r="C99" s="7">
        <v>0.87360000000000004</v>
      </c>
      <c r="D99">
        <f>VLOOKUP(A99,bmore_income!$A$2:$C$324,3,FALSE)</f>
        <v>22133</v>
      </c>
      <c r="H99" t="str">
        <f t="shared" si="1"/>
        <v xml:space="preserve"> Baltimore</v>
      </c>
    </row>
    <row r="100" spans="1:8" x14ac:dyDescent="0.2">
      <c r="A100">
        <v>24510250401</v>
      </c>
      <c r="B100" t="s">
        <v>47</v>
      </c>
      <c r="C100" s="7">
        <v>0.80700000000000005</v>
      </c>
      <c r="D100">
        <f>VLOOKUP(A100,bmore_income!$A$2:$C$324,3,FALSE)</f>
        <v>22234</v>
      </c>
      <c r="H100" t="str">
        <f t="shared" si="1"/>
        <v xml:space="preserve"> Baltimore</v>
      </c>
    </row>
    <row r="101" spans="1:8" x14ac:dyDescent="0.2">
      <c r="A101">
        <v>24510180200</v>
      </c>
      <c r="B101" t="s">
        <v>102</v>
      </c>
      <c r="C101" s="7">
        <v>0.92069999999999996</v>
      </c>
      <c r="D101">
        <f>VLOOKUP(A101,bmore_income!$A$2:$C$324,3,FALSE)</f>
        <v>22255</v>
      </c>
      <c r="H101" t="str">
        <f t="shared" si="1"/>
        <v xml:space="preserve"> Baltimore</v>
      </c>
    </row>
    <row r="102" spans="1:8" x14ac:dyDescent="0.2">
      <c r="A102">
        <v>24510271700</v>
      </c>
      <c r="B102" t="s">
        <v>97</v>
      </c>
      <c r="C102" s="7">
        <v>0.87150000000000005</v>
      </c>
      <c r="D102">
        <f>VLOOKUP(A102,bmore_income!$A$2:$C$324,3,FALSE)</f>
        <v>22274</v>
      </c>
      <c r="H102" t="str">
        <f t="shared" si="1"/>
        <v xml:space="preserve"> Baltimore</v>
      </c>
    </row>
    <row r="103" spans="1:8" x14ac:dyDescent="0.2">
      <c r="A103">
        <v>24510200100</v>
      </c>
      <c r="B103" t="s">
        <v>115</v>
      </c>
      <c r="C103" s="7">
        <v>0.9143</v>
      </c>
      <c r="D103">
        <f>VLOOKUP(A103,bmore_income!$A$2:$C$324,3,FALSE)</f>
        <v>22333</v>
      </c>
      <c r="H103" t="str">
        <f t="shared" si="1"/>
        <v xml:space="preserve"> Baltimore</v>
      </c>
    </row>
    <row r="104" spans="1:8" hidden="1" x14ac:dyDescent="0.2">
      <c r="A104">
        <v>24510060200</v>
      </c>
      <c r="B104" t="s">
        <v>3</v>
      </c>
      <c r="C104">
        <v>0.85040000000000004</v>
      </c>
      <c r="H104" t="e">
        <f t="shared" si="1"/>
        <v>#VALUE!</v>
      </c>
    </row>
    <row r="105" spans="1:8" hidden="1" x14ac:dyDescent="0.2">
      <c r="A105">
        <v>24510200600</v>
      </c>
      <c r="B105" t="s">
        <v>3</v>
      </c>
      <c r="C105">
        <v>0.85009999999999997</v>
      </c>
      <c r="H105" t="e">
        <f t="shared" si="1"/>
        <v>#VALUE!</v>
      </c>
    </row>
    <row r="106" spans="1:8" x14ac:dyDescent="0.2">
      <c r="A106">
        <v>24510160801</v>
      </c>
      <c r="B106" t="s">
        <v>95</v>
      </c>
      <c r="C106" s="7">
        <v>0.85940000000000005</v>
      </c>
      <c r="D106">
        <f>VLOOKUP(A106,bmore_income!$A$2:$C$324,3,FALSE)</f>
        <v>22336</v>
      </c>
      <c r="H106" t="str">
        <f t="shared" si="1"/>
        <v xml:space="preserve"> Baltimore</v>
      </c>
    </row>
    <row r="107" spans="1:8" x14ac:dyDescent="0.2">
      <c r="A107">
        <v>24510271002</v>
      </c>
      <c r="B107" t="s">
        <v>92</v>
      </c>
      <c r="C107" s="7">
        <v>0.87119999999999997</v>
      </c>
      <c r="D107">
        <f>VLOOKUP(A107,bmore_income!$A$2:$C$324,3,FALSE)</f>
        <v>22368</v>
      </c>
      <c r="H107" t="str">
        <f t="shared" si="1"/>
        <v xml:space="preserve"> Baltimore</v>
      </c>
    </row>
    <row r="108" spans="1:8" x14ac:dyDescent="0.2">
      <c r="A108">
        <v>24510260402</v>
      </c>
      <c r="B108" t="s">
        <v>66</v>
      </c>
      <c r="C108" s="7">
        <v>0.85960000000000003</v>
      </c>
      <c r="D108">
        <f>VLOOKUP(A108,bmore_income!$A$2:$C$324,3,FALSE)</f>
        <v>22371</v>
      </c>
      <c r="H108" t="str">
        <f t="shared" si="1"/>
        <v xml:space="preserve"> Baltimore</v>
      </c>
    </row>
    <row r="109" spans="1:8" x14ac:dyDescent="0.2">
      <c r="A109">
        <v>24510020100</v>
      </c>
      <c r="B109" t="s">
        <v>57</v>
      </c>
      <c r="C109" s="7">
        <v>0.80979999999999996</v>
      </c>
      <c r="D109">
        <f>VLOOKUP(A109,bmore_income!$A$2:$C$324,3,FALSE)</f>
        <v>22647</v>
      </c>
      <c r="H109" t="str">
        <f t="shared" si="1"/>
        <v xml:space="preserve"> Baltimore</v>
      </c>
    </row>
    <row r="110" spans="1:8" x14ac:dyDescent="0.2">
      <c r="A110">
        <v>24510130804</v>
      </c>
      <c r="B110" t="s">
        <v>39</v>
      </c>
      <c r="C110" s="7">
        <v>0.81289999999999996</v>
      </c>
      <c r="D110">
        <f>VLOOKUP(A110,bmore_income!$A$2:$C$324,3,FALSE)</f>
        <v>22770</v>
      </c>
      <c r="H110" t="str">
        <f t="shared" si="1"/>
        <v xml:space="preserve"> Baltimore</v>
      </c>
    </row>
    <row r="111" spans="1:8" hidden="1" x14ac:dyDescent="0.2">
      <c r="A111">
        <v>24005441000</v>
      </c>
      <c r="B111" t="s">
        <v>3</v>
      </c>
      <c r="C111">
        <v>0.84630000000000005</v>
      </c>
      <c r="H111" t="e">
        <f t="shared" si="1"/>
        <v>#VALUE!</v>
      </c>
    </row>
    <row r="112" spans="1:8" x14ac:dyDescent="0.2">
      <c r="A112">
        <v>24510150500</v>
      </c>
      <c r="B112" t="s">
        <v>91</v>
      </c>
      <c r="C112" s="7">
        <v>0.86929999999999996</v>
      </c>
      <c r="D112">
        <f>VLOOKUP(A112,bmore_income!$A$2:$C$324,3,FALSE)</f>
        <v>22829</v>
      </c>
      <c r="H112" t="str">
        <f t="shared" si="1"/>
        <v xml:space="preserve"> Baltimore</v>
      </c>
    </row>
    <row r="113" spans="1:8" x14ac:dyDescent="0.2">
      <c r="A113">
        <v>24510260203</v>
      </c>
      <c r="B113" t="s">
        <v>66</v>
      </c>
      <c r="C113" s="7">
        <v>0.86729999999999996</v>
      </c>
      <c r="D113">
        <f>VLOOKUP(A113,bmore_income!$A$2:$C$324,3,FALSE)</f>
        <v>22966</v>
      </c>
      <c r="H113" t="str">
        <f t="shared" si="1"/>
        <v xml:space="preserve"> Baltimore</v>
      </c>
    </row>
    <row r="114" spans="1:8" x14ac:dyDescent="0.2">
      <c r="A114">
        <v>24510200701</v>
      </c>
      <c r="B114" t="s">
        <v>88</v>
      </c>
      <c r="C114" s="7">
        <v>0.89170000000000005</v>
      </c>
      <c r="D114">
        <f>VLOOKUP(A114,bmore_income!$A$2:$C$324,3,FALSE)</f>
        <v>23051</v>
      </c>
      <c r="H114" t="str">
        <f t="shared" si="1"/>
        <v xml:space="preserve"> Baltimore</v>
      </c>
    </row>
    <row r="115" spans="1:8" x14ac:dyDescent="0.2">
      <c r="A115">
        <v>24510280102</v>
      </c>
      <c r="B115" t="s">
        <v>51</v>
      </c>
      <c r="C115" s="7">
        <v>0.83420000000000005</v>
      </c>
      <c r="D115">
        <f>VLOOKUP(A115,bmore_income!$A$2:$C$324,3,FALSE)</f>
        <v>23149</v>
      </c>
      <c r="H115" t="str">
        <f t="shared" si="1"/>
        <v xml:space="preserve"> Baltimore</v>
      </c>
    </row>
    <row r="116" spans="1:8" hidden="1" x14ac:dyDescent="0.2">
      <c r="A116">
        <v>24005420200</v>
      </c>
      <c r="B116" t="s">
        <v>21</v>
      </c>
      <c r="C116">
        <v>0.84289999999999998</v>
      </c>
      <c r="H116" t="e">
        <f t="shared" si="1"/>
        <v>#VALUE!</v>
      </c>
    </row>
    <row r="117" spans="1:8" x14ac:dyDescent="0.2">
      <c r="A117">
        <v>24510170100</v>
      </c>
      <c r="B117" t="s">
        <v>58</v>
      </c>
      <c r="C117" s="7">
        <v>0.91320000000000001</v>
      </c>
      <c r="D117">
        <f>VLOOKUP(A117,bmore_income!$A$2:$C$324,3,FALSE)</f>
        <v>23163</v>
      </c>
      <c r="H117" t="str">
        <f t="shared" si="1"/>
        <v xml:space="preserve"> Baltimore</v>
      </c>
    </row>
    <row r="118" spans="1:8" x14ac:dyDescent="0.2">
      <c r="A118">
        <v>24510030200</v>
      </c>
      <c r="B118" t="s">
        <v>76</v>
      </c>
      <c r="C118" s="7">
        <v>0.7359</v>
      </c>
      <c r="D118">
        <f>VLOOKUP(A118,bmore_income!$A$2:$C$324,3,FALSE)</f>
        <v>23163</v>
      </c>
      <c r="H118" t="str">
        <f t="shared" si="1"/>
        <v xml:space="preserve"> Baltimore</v>
      </c>
    </row>
    <row r="119" spans="1:8" hidden="1" x14ac:dyDescent="0.2">
      <c r="A119">
        <v>24005420702</v>
      </c>
      <c r="B119" t="s">
        <v>21</v>
      </c>
      <c r="C119">
        <v>0.84030000000000005</v>
      </c>
      <c r="H119" t="e">
        <f t="shared" si="1"/>
        <v>#VALUE!</v>
      </c>
    </row>
    <row r="120" spans="1:8" x14ac:dyDescent="0.2">
      <c r="A120">
        <v>24510260202</v>
      </c>
      <c r="B120" t="s">
        <v>83</v>
      </c>
      <c r="C120" s="7">
        <v>0.86380000000000001</v>
      </c>
      <c r="D120">
        <f>VLOOKUP(A120,bmore_income!$A$2:$C$324,3,FALSE)</f>
        <v>23197</v>
      </c>
      <c r="H120" t="str">
        <f t="shared" si="1"/>
        <v xml:space="preserve"> Baltimore</v>
      </c>
    </row>
    <row r="121" spans="1:8" x14ac:dyDescent="0.2">
      <c r="A121">
        <v>24510090100</v>
      </c>
      <c r="B121" t="s">
        <v>63</v>
      </c>
      <c r="C121" s="7">
        <v>0.87519999999999998</v>
      </c>
      <c r="D121">
        <f>VLOOKUP(A121,bmore_income!$A$2:$C$324,3,FALSE)</f>
        <v>23212</v>
      </c>
      <c r="H121" t="str">
        <f t="shared" si="1"/>
        <v xml:space="preserve"> Baltimore</v>
      </c>
    </row>
    <row r="122" spans="1:8" x14ac:dyDescent="0.2">
      <c r="A122">
        <v>24510150701</v>
      </c>
      <c r="B122" t="s">
        <v>81</v>
      </c>
      <c r="C122" s="7">
        <v>0.84530000000000005</v>
      </c>
      <c r="D122">
        <f>VLOOKUP(A122,bmore_income!$A$2:$C$324,3,FALSE)</f>
        <v>23244</v>
      </c>
      <c r="H122" t="str">
        <f t="shared" si="1"/>
        <v xml:space="preserve"> Baltimore</v>
      </c>
    </row>
    <row r="123" spans="1:8" x14ac:dyDescent="0.2">
      <c r="A123">
        <v>24510250303</v>
      </c>
      <c r="B123" t="s">
        <v>56</v>
      </c>
      <c r="C123" s="7">
        <v>0.82189999999999996</v>
      </c>
      <c r="D123">
        <f>VLOOKUP(A123,bmore_income!$A$2:$C$324,3,FALSE)</f>
        <v>23272</v>
      </c>
      <c r="H123" t="str">
        <f t="shared" si="1"/>
        <v xml:space="preserve"> Baltimore</v>
      </c>
    </row>
    <row r="124" spans="1:8" x14ac:dyDescent="0.2">
      <c r="A124">
        <v>24510150900</v>
      </c>
      <c r="B124" t="s">
        <v>89</v>
      </c>
      <c r="C124" s="7">
        <v>0.87839999999999996</v>
      </c>
      <c r="D124">
        <f>VLOOKUP(A124,bmore_income!$A$2:$C$324,3,FALSE)</f>
        <v>23512</v>
      </c>
      <c r="H124" t="str">
        <f t="shared" si="1"/>
        <v xml:space="preserve"> Baltimore</v>
      </c>
    </row>
    <row r="125" spans="1:8" x14ac:dyDescent="0.2">
      <c r="A125">
        <v>24510200800</v>
      </c>
      <c r="B125" t="s">
        <v>79</v>
      </c>
      <c r="C125" s="7">
        <v>0.85699999999999998</v>
      </c>
      <c r="D125">
        <f>VLOOKUP(A125,bmore_income!$A$2:$C$324,3,FALSE)</f>
        <v>23633</v>
      </c>
      <c r="H125" t="str">
        <f t="shared" si="1"/>
        <v xml:space="preserve"> Baltimore</v>
      </c>
    </row>
    <row r="126" spans="1:8" x14ac:dyDescent="0.2">
      <c r="A126">
        <v>24510260201</v>
      </c>
      <c r="B126" t="s">
        <v>66</v>
      </c>
      <c r="C126" s="7">
        <v>0.8175</v>
      </c>
      <c r="D126">
        <f>VLOOKUP(A126,bmore_income!$A$2:$C$324,3,FALSE)</f>
        <v>23780</v>
      </c>
      <c r="H126" t="str">
        <f t="shared" si="1"/>
        <v xml:space="preserve"> Baltimore</v>
      </c>
    </row>
    <row r="127" spans="1:8" x14ac:dyDescent="0.2">
      <c r="A127">
        <v>24510250102</v>
      </c>
      <c r="B127" t="s">
        <v>84</v>
      </c>
      <c r="C127" s="7">
        <v>0.85040000000000004</v>
      </c>
      <c r="D127">
        <f>VLOOKUP(A127,bmore_income!$A$2:$C$324,3,FALSE)</f>
        <v>23958</v>
      </c>
      <c r="H127" t="str">
        <f t="shared" si="1"/>
        <v xml:space="preserve"> Baltimore</v>
      </c>
    </row>
    <row r="128" spans="1:8" hidden="1" x14ac:dyDescent="0.2">
      <c r="A128">
        <v>24005452400</v>
      </c>
      <c r="B128" t="s">
        <v>21</v>
      </c>
      <c r="C128">
        <v>0.8327</v>
      </c>
      <c r="H128" t="e">
        <f t="shared" si="1"/>
        <v>#VALUE!</v>
      </c>
    </row>
    <row r="129" spans="1:8" hidden="1" x14ac:dyDescent="0.2">
      <c r="A129">
        <v>24005450100</v>
      </c>
      <c r="B129" t="s">
        <v>16</v>
      </c>
      <c r="C129">
        <v>0.83069999999999999</v>
      </c>
      <c r="H129" t="e">
        <f t="shared" si="1"/>
        <v>#VALUE!</v>
      </c>
    </row>
    <row r="130" spans="1:8" x14ac:dyDescent="0.2">
      <c r="A130">
        <v>24510260700</v>
      </c>
      <c r="B130" t="s">
        <v>60</v>
      </c>
      <c r="C130" s="7">
        <v>0.78580000000000005</v>
      </c>
      <c r="D130">
        <f>VLOOKUP(A130,bmore_income!$A$2:$C$324,3,FALSE)</f>
        <v>24042</v>
      </c>
      <c r="H130" t="str">
        <f t="shared" si="1"/>
        <v xml:space="preserve"> Baltimore</v>
      </c>
    </row>
    <row r="131" spans="1:8" x14ac:dyDescent="0.2">
      <c r="A131">
        <v>24510280302</v>
      </c>
      <c r="B131" t="s">
        <v>80</v>
      </c>
      <c r="C131" s="7">
        <v>0.84340000000000004</v>
      </c>
      <c r="D131">
        <f>VLOOKUP(A131,bmore_income!$A$2:$C$324,3,FALSE)</f>
        <v>24058</v>
      </c>
      <c r="H131" t="str">
        <f t="shared" ref="H131:H194" si="2">MID($B131, FIND(",",$B131)+1, FIND(",",$B131,FIND(",",$B131)+1) -1 -FIND(",",$B131))</f>
        <v xml:space="preserve"> Baltimore</v>
      </c>
    </row>
    <row r="132" spans="1:8" hidden="1" x14ac:dyDescent="0.2">
      <c r="A132">
        <v>24005421300</v>
      </c>
      <c r="B132" t="s">
        <v>21</v>
      </c>
      <c r="C132">
        <v>0.82909999999999995</v>
      </c>
      <c r="H132" t="e">
        <f t="shared" si="2"/>
        <v>#VALUE!</v>
      </c>
    </row>
    <row r="133" spans="1:8" x14ac:dyDescent="0.2">
      <c r="A133">
        <v>24510230200</v>
      </c>
      <c r="B133" t="s">
        <v>54</v>
      </c>
      <c r="C133" s="7">
        <v>0.82550000000000001</v>
      </c>
      <c r="D133">
        <f>VLOOKUP(A133,bmore_income!$A$2:$C$324,3,FALSE)</f>
        <v>24138</v>
      </c>
      <c r="H133" t="str">
        <f t="shared" si="2"/>
        <v xml:space="preserve"> Baltimore</v>
      </c>
    </row>
    <row r="134" spans="1:8" x14ac:dyDescent="0.2">
      <c r="A134">
        <v>24510010200</v>
      </c>
      <c r="B134" t="s">
        <v>65</v>
      </c>
      <c r="C134" s="7">
        <v>0.85519999999999996</v>
      </c>
      <c r="D134">
        <f>VLOOKUP(A134,bmore_income!$A$2:$C$324,3,FALSE)</f>
        <v>24247</v>
      </c>
      <c r="H134" t="str">
        <f t="shared" si="2"/>
        <v xml:space="preserve"> Baltimore</v>
      </c>
    </row>
    <row r="135" spans="1:8" x14ac:dyDescent="0.2">
      <c r="A135">
        <v>24510280301</v>
      </c>
      <c r="B135" t="s">
        <v>51</v>
      </c>
      <c r="C135" s="7">
        <v>0.84179999999999999</v>
      </c>
      <c r="D135">
        <f>VLOOKUP(A135,bmore_income!$A$2:$C$324,3,FALSE)</f>
        <v>24477</v>
      </c>
      <c r="H135" t="str">
        <f t="shared" si="2"/>
        <v xml:space="preserve"> Baltimore</v>
      </c>
    </row>
    <row r="136" spans="1:8" x14ac:dyDescent="0.2">
      <c r="A136">
        <v>24510150800</v>
      </c>
      <c r="B136" t="s">
        <v>85</v>
      </c>
      <c r="C136" s="7">
        <v>0.85819999999999996</v>
      </c>
      <c r="D136">
        <f>VLOOKUP(A136,bmore_income!$A$2:$C$324,3,FALSE)</f>
        <v>24478</v>
      </c>
      <c r="H136" t="str">
        <f t="shared" si="2"/>
        <v xml:space="preserve"> Baltimore</v>
      </c>
    </row>
    <row r="137" spans="1:8" x14ac:dyDescent="0.2">
      <c r="A137">
        <v>24510280404</v>
      </c>
      <c r="B137" t="s">
        <v>79</v>
      </c>
      <c r="C137" s="7">
        <v>0.87749999999999995</v>
      </c>
      <c r="D137">
        <f>VLOOKUP(A137,bmore_income!$A$2:$C$324,3,FALSE)</f>
        <v>24782</v>
      </c>
      <c r="H137" t="str">
        <f t="shared" si="2"/>
        <v xml:space="preserve"> Baltimore</v>
      </c>
    </row>
    <row r="138" spans="1:8" x14ac:dyDescent="0.2">
      <c r="A138">
        <v>24510280402</v>
      </c>
      <c r="B138" t="s">
        <v>77</v>
      </c>
      <c r="C138" s="7">
        <v>0.88429999999999997</v>
      </c>
      <c r="D138">
        <f>VLOOKUP(A138,bmore_income!$A$2:$C$324,3,FALSE)</f>
        <v>24832</v>
      </c>
      <c r="H138" t="str">
        <f t="shared" si="2"/>
        <v xml:space="preserve"> Baltimore</v>
      </c>
    </row>
    <row r="139" spans="1:8" hidden="1" x14ac:dyDescent="0.2">
      <c r="A139">
        <v>24510280401</v>
      </c>
      <c r="B139" t="s">
        <v>3</v>
      </c>
      <c r="C139">
        <v>0.82010000000000005</v>
      </c>
      <c r="H139" t="e">
        <f t="shared" si="2"/>
        <v>#VALUE!</v>
      </c>
    </row>
    <row r="140" spans="1:8" hidden="1" x14ac:dyDescent="0.2">
      <c r="A140">
        <v>24005441102</v>
      </c>
      <c r="B140" t="s">
        <v>16</v>
      </c>
      <c r="C140">
        <v>0.82</v>
      </c>
      <c r="H140" t="e">
        <f t="shared" si="2"/>
        <v>#VALUE!</v>
      </c>
    </row>
    <row r="141" spans="1:8" x14ac:dyDescent="0.2">
      <c r="A141">
        <v>24510090300</v>
      </c>
      <c r="B141" t="s">
        <v>63</v>
      </c>
      <c r="C141" s="7">
        <v>0.83879999999999999</v>
      </c>
      <c r="D141">
        <f>VLOOKUP(A141,bmore_income!$A$2:$C$324,3,FALSE)</f>
        <v>24958</v>
      </c>
      <c r="H141" t="str">
        <f t="shared" si="2"/>
        <v xml:space="preserve"> Baltimore</v>
      </c>
    </row>
    <row r="142" spans="1:8" x14ac:dyDescent="0.2">
      <c r="A142">
        <v>24510010300</v>
      </c>
      <c r="B142" t="s">
        <v>27</v>
      </c>
      <c r="C142" s="7">
        <v>0.80930000000000002</v>
      </c>
      <c r="D142">
        <f>VLOOKUP(A142,bmore_income!$A$2:$C$324,3,FALSE)</f>
        <v>24983</v>
      </c>
      <c r="H142" t="str">
        <f t="shared" si="2"/>
        <v xml:space="preserve"> Baltimore</v>
      </c>
    </row>
    <row r="143" spans="1:8" hidden="1" x14ac:dyDescent="0.2">
      <c r="A143">
        <v>24005430300</v>
      </c>
      <c r="B143" t="s">
        <v>33</v>
      </c>
      <c r="C143">
        <v>0.81769999999999998</v>
      </c>
      <c r="H143" t="str">
        <f t="shared" si="2"/>
        <v xml:space="preserve"> Halethorpe</v>
      </c>
    </row>
    <row r="144" spans="1:8" x14ac:dyDescent="0.2">
      <c r="A144">
        <v>24005403202</v>
      </c>
      <c r="B144" t="s">
        <v>51</v>
      </c>
      <c r="C144" s="7">
        <v>0.73150000000000004</v>
      </c>
      <c r="D144">
        <f>VLOOKUP(A144,bmore_income!$A$2:$C$324,3,FALSE)</f>
        <v>25215</v>
      </c>
      <c r="H144" t="str">
        <f t="shared" si="2"/>
        <v xml:space="preserve"> Baltimore</v>
      </c>
    </row>
    <row r="145" spans="1:8" hidden="1" x14ac:dyDescent="0.2">
      <c r="A145">
        <v>24005420800</v>
      </c>
      <c r="B145" t="s">
        <v>21</v>
      </c>
      <c r="C145">
        <v>0.81569999999999998</v>
      </c>
      <c r="H145" t="e">
        <f t="shared" si="2"/>
        <v>#VALUE!</v>
      </c>
    </row>
    <row r="146" spans="1:8" x14ac:dyDescent="0.2">
      <c r="A146">
        <v>24510270805</v>
      </c>
      <c r="B146" t="s">
        <v>75</v>
      </c>
      <c r="C146" s="7">
        <v>0.82679999999999998</v>
      </c>
      <c r="D146">
        <f>VLOOKUP(A146,bmore_income!$A$2:$C$324,3,FALSE)</f>
        <v>25372</v>
      </c>
      <c r="H146" t="str">
        <f t="shared" si="2"/>
        <v xml:space="preserve"> Baltimore</v>
      </c>
    </row>
    <row r="147" spans="1:8" x14ac:dyDescent="0.2">
      <c r="A147">
        <v>24510130806</v>
      </c>
      <c r="B147" t="s">
        <v>59</v>
      </c>
      <c r="C147" s="7">
        <v>0.78369999999999995</v>
      </c>
      <c r="D147">
        <f>VLOOKUP(A147,bmore_income!$A$2:$C$324,3,FALSE)</f>
        <v>25508</v>
      </c>
      <c r="H147" t="str">
        <f t="shared" si="2"/>
        <v xml:space="preserve"> Baltimore</v>
      </c>
    </row>
    <row r="148" spans="1:8" hidden="1" x14ac:dyDescent="0.2">
      <c r="A148">
        <v>24005430200</v>
      </c>
      <c r="B148" t="s">
        <v>37</v>
      </c>
      <c r="C148">
        <v>0.81330000000000002</v>
      </c>
      <c r="H148" t="str">
        <f t="shared" si="2"/>
        <v xml:space="preserve"> Lansdowne</v>
      </c>
    </row>
    <row r="149" spans="1:8" x14ac:dyDescent="0.2">
      <c r="A149">
        <v>24510250206</v>
      </c>
      <c r="B149" t="s">
        <v>56</v>
      </c>
      <c r="C149" s="7">
        <v>0.80379999999999996</v>
      </c>
      <c r="D149">
        <f>VLOOKUP(A149,bmore_income!$A$2:$C$324,3,FALSE)</f>
        <v>25518</v>
      </c>
      <c r="H149" t="str">
        <f t="shared" si="2"/>
        <v xml:space="preserve"> Baltimore</v>
      </c>
    </row>
    <row r="150" spans="1:8" hidden="1" x14ac:dyDescent="0.2">
      <c r="A150">
        <v>24005420600</v>
      </c>
      <c r="B150" t="s">
        <v>3</v>
      </c>
      <c r="C150">
        <v>0.81120000000000003</v>
      </c>
      <c r="H150" t="e">
        <f t="shared" si="2"/>
        <v>#VALUE!</v>
      </c>
    </row>
    <row r="151" spans="1:8" x14ac:dyDescent="0.2">
      <c r="A151">
        <v>24510260605</v>
      </c>
      <c r="B151" t="s">
        <v>52</v>
      </c>
      <c r="C151" s="7">
        <v>0.79300000000000004</v>
      </c>
      <c r="D151">
        <f>VLOOKUP(A151,bmore_income!$A$2:$C$324,3,FALSE)</f>
        <v>25520</v>
      </c>
      <c r="H151" t="str">
        <f t="shared" si="2"/>
        <v xml:space="preserve"> Baltimore</v>
      </c>
    </row>
    <row r="152" spans="1:8" x14ac:dyDescent="0.2">
      <c r="A152">
        <v>24510260302</v>
      </c>
      <c r="B152" t="s">
        <v>62</v>
      </c>
      <c r="C152" s="7">
        <v>0.85560000000000003</v>
      </c>
      <c r="D152">
        <f>VLOOKUP(A152,bmore_income!$A$2:$C$324,3,FALSE)</f>
        <v>25686</v>
      </c>
      <c r="H152" t="str">
        <f t="shared" si="2"/>
        <v xml:space="preserve"> Baltimore</v>
      </c>
    </row>
    <row r="153" spans="1:8" x14ac:dyDescent="0.2">
      <c r="A153">
        <v>24510130600</v>
      </c>
      <c r="B153" t="s">
        <v>39</v>
      </c>
      <c r="C153" s="7">
        <v>0.76649999999999996</v>
      </c>
      <c r="D153">
        <f>VLOOKUP(A153,bmore_income!$A$2:$C$324,3,FALSE)</f>
        <v>25718</v>
      </c>
      <c r="H153" t="str">
        <f t="shared" si="2"/>
        <v xml:space="preserve"> Baltimore</v>
      </c>
    </row>
    <row r="154" spans="1:8" hidden="1" x14ac:dyDescent="0.2">
      <c r="A154">
        <v>24005420500</v>
      </c>
      <c r="B154" t="s">
        <v>3</v>
      </c>
      <c r="C154">
        <v>0.80740000000000001</v>
      </c>
      <c r="H154" t="e">
        <f t="shared" si="2"/>
        <v>#VALUE!</v>
      </c>
    </row>
    <row r="155" spans="1:8" hidden="1" x14ac:dyDescent="0.2">
      <c r="A155">
        <v>24005440900</v>
      </c>
      <c r="B155" t="s">
        <v>16</v>
      </c>
      <c r="C155">
        <v>0.80710000000000004</v>
      </c>
      <c r="H155" t="e">
        <f t="shared" si="2"/>
        <v>#VALUE!</v>
      </c>
    </row>
    <row r="156" spans="1:8" x14ac:dyDescent="0.2">
      <c r="A156">
        <v>24510272007</v>
      </c>
      <c r="B156" t="s">
        <v>42</v>
      </c>
      <c r="C156" s="7">
        <v>0.67120000000000002</v>
      </c>
      <c r="D156">
        <f>VLOOKUP(A156,bmore_income!$A$2:$C$324,3,FALSE)</f>
        <v>25872</v>
      </c>
      <c r="H156" t="str">
        <f t="shared" si="2"/>
        <v xml:space="preserve"> Baltimore</v>
      </c>
    </row>
    <row r="157" spans="1:8" hidden="1" x14ac:dyDescent="0.2">
      <c r="A157">
        <v>24005492101</v>
      </c>
      <c r="B157" t="s">
        <v>17</v>
      </c>
      <c r="C157">
        <v>0.80569999999999997</v>
      </c>
      <c r="H157" t="e">
        <f t="shared" si="2"/>
        <v>#VALUE!</v>
      </c>
    </row>
    <row r="158" spans="1:8" hidden="1" x14ac:dyDescent="0.2">
      <c r="A158">
        <v>24003750102</v>
      </c>
      <c r="B158" t="s">
        <v>3</v>
      </c>
      <c r="C158">
        <v>0.80510000000000004</v>
      </c>
      <c r="H158" t="e">
        <f t="shared" si="2"/>
        <v>#VALUE!</v>
      </c>
    </row>
    <row r="159" spans="1:8" x14ac:dyDescent="0.2">
      <c r="A159">
        <v>24510280200</v>
      </c>
      <c r="B159" t="s">
        <v>51</v>
      </c>
      <c r="C159" s="7">
        <v>0.83720000000000006</v>
      </c>
      <c r="D159">
        <f>VLOOKUP(A159,bmore_income!$A$2:$C$324,3,FALSE)</f>
        <v>25949</v>
      </c>
      <c r="H159" t="str">
        <f t="shared" si="2"/>
        <v xml:space="preserve"> Baltimore</v>
      </c>
    </row>
    <row r="160" spans="1:8" x14ac:dyDescent="0.2">
      <c r="A160">
        <v>24510271900</v>
      </c>
      <c r="B160" t="s">
        <v>38</v>
      </c>
      <c r="C160" s="7">
        <v>0.78029999999999999</v>
      </c>
      <c r="D160">
        <f>VLOOKUP(A160,bmore_income!$A$2:$C$324,3,FALSE)</f>
        <v>26015</v>
      </c>
      <c r="H160" t="str">
        <f t="shared" si="2"/>
        <v xml:space="preserve"> Baltimore</v>
      </c>
    </row>
    <row r="161" spans="1:8" hidden="1" x14ac:dyDescent="0.2">
      <c r="A161">
        <v>24005430400</v>
      </c>
      <c r="B161" t="s">
        <v>22</v>
      </c>
      <c r="C161">
        <v>0.80169999999999997</v>
      </c>
      <c r="H161" t="e">
        <f t="shared" si="2"/>
        <v>#VALUE!</v>
      </c>
    </row>
    <row r="162" spans="1:8" x14ac:dyDescent="0.2">
      <c r="A162">
        <v>24510250101</v>
      </c>
      <c r="B162" t="s">
        <v>73</v>
      </c>
      <c r="C162" s="7">
        <v>0.86850000000000005</v>
      </c>
      <c r="D162">
        <f>VLOOKUP(A162,bmore_income!$A$2:$C$324,3,FALSE)</f>
        <v>26218</v>
      </c>
      <c r="H162" t="str">
        <f t="shared" si="2"/>
        <v xml:space="preserve"> Baltimore</v>
      </c>
    </row>
    <row r="163" spans="1:8" hidden="1" x14ac:dyDescent="0.2">
      <c r="A163">
        <v>24005420303</v>
      </c>
      <c r="B163" t="s">
        <v>21</v>
      </c>
      <c r="C163">
        <v>0.79900000000000004</v>
      </c>
      <c r="H163" t="e">
        <f t="shared" si="2"/>
        <v>#VALUE!</v>
      </c>
    </row>
    <row r="164" spans="1:8" hidden="1" x14ac:dyDescent="0.2">
      <c r="A164">
        <v>24005421200</v>
      </c>
      <c r="B164" t="s">
        <v>21</v>
      </c>
      <c r="C164">
        <v>0.79779999999999995</v>
      </c>
      <c r="H164" t="e">
        <f t="shared" si="2"/>
        <v>#VALUE!</v>
      </c>
    </row>
    <row r="165" spans="1:8" x14ac:dyDescent="0.2">
      <c r="A165">
        <v>24510010500</v>
      </c>
      <c r="B165" t="s">
        <v>57</v>
      </c>
      <c r="C165" s="7">
        <v>0.68369999999999997</v>
      </c>
      <c r="D165">
        <f>VLOOKUP(A165,bmore_income!$A$2:$C$324,3,FALSE)</f>
        <v>26226</v>
      </c>
      <c r="H165" t="str">
        <f t="shared" si="2"/>
        <v xml:space="preserve"> Baltimore</v>
      </c>
    </row>
    <row r="166" spans="1:8" x14ac:dyDescent="0.2">
      <c r="A166">
        <v>24510270901</v>
      </c>
      <c r="B166" t="s">
        <v>74</v>
      </c>
      <c r="C166" s="7">
        <v>0.86150000000000004</v>
      </c>
      <c r="D166">
        <f>VLOOKUP(A166,bmore_income!$A$2:$C$324,3,FALSE)</f>
        <v>26246</v>
      </c>
      <c r="H166" t="str">
        <f t="shared" si="2"/>
        <v xml:space="preserve"> Baltimore</v>
      </c>
    </row>
    <row r="167" spans="1:8" hidden="1" x14ac:dyDescent="0.2">
      <c r="A167">
        <v>24005421101</v>
      </c>
      <c r="B167" t="s">
        <v>3</v>
      </c>
      <c r="C167">
        <v>0.79530000000000001</v>
      </c>
      <c r="H167" t="e">
        <f t="shared" si="2"/>
        <v>#VALUE!</v>
      </c>
    </row>
    <row r="168" spans="1:8" hidden="1" x14ac:dyDescent="0.2">
      <c r="A168">
        <v>24005441101</v>
      </c>
      <c r="B168" t="s">
        <v>16</v>
      </c>
      <c r="C168">
        <v>0.79339999999999999</v>
      </c>
      <c r="H168" t="e">
        <f t="shared" si="2"/>
        <v>#VALUE!</v>
      </c>
    </row>
    <row r="169" spans="1:8" x14ac:dyDescent="0.2">
      <c r="A169">
        <v>24510151100</v>
      </c>
      <c r="B169" t="s">
        <v>72</v>
      </c>
      <c r="C169" s="7">
        <v>0.84540000000000004</v>
      </c>
      <c r="D169">
        <f>VLOOKUP(A169,bmore_income!$A$2:$C$324,3,FALSE)</f>
        <v>26312</v>
      </c>
      <c r="H169" t="str">
        <f t="shared" si="2"/>
        <v xml:space="preserve"> Baltimore</v>
      </c>
    </row>
    <row r="170" spans="1:8" x14ac:dyDescent="0.2">
      <c r="A170">
        <v>24510150702</v>
      </c>
      <c r="B170" t="s">
        <v>78</v>
      </c>
      <c r="C170" s="7">
        <v>0.86799999999999999</v>
      </c>
      <c r="D170">
        <f>VLOOKUP(A170,bmore_income!$A$2:$C$324,3,FALSE)</f>
        <v>26666</v>
      </c>
      <c r="H170" t="str">
        <f t="shared" si="2"/>
        <v xml:space="preserve"> Baltimore</v>
      </c>
    </row>
    <row r="171" spans="1:8" hidden="1" x14ac:dyDescent="0.2">
      <c r="A171">
        <v>24005401301</v>
      </c>
      <c r="B171" t="s">
        <v>46</v>
      </c>
      <c r="C171">
        <v>0.79069999999999996</v>
      </c>
      <c r="H171" t="e">
        <f t="shared" si="2"/>
        <v>#VALUE!</v>
      </c>
    </row>
    <row r="172" spans="1:8" hidden="1" x14ac:dyDescent="0.2">
      <c r="A172">
        <v>24005440800</v>
      </c>
      <c r="B172" t="s">
        <v>16</v>
      </c>
      <c r="C172">
        <v>0.78869999999999996</v>
      </c>
      <c r="H172" t="e">
        <f t="shared" si="2"/>
        <v>#VALUE!</v>
      </c>
    </row>
    <row r="173" spans="1:8" hidden="1" x14ac:dyDescent="0.2">
      <c r="A173">
        <v>24005430101</v>
      </c>
      <c r="B173" t="s">
        <v>37</v>
      </c>
      <c r="C173">
        <v>0.78869999999999996</v>
      </c>
      <c r="H173" t="str">
        <f t="shared" si="2"/>
        <v xml:space="preserve"> Lansdowne</v>
      </c>
    </row>
    <row r="174" spans="1:8" hidden="1" x14ac:dyDescent="0.2">
      <c r="A174">
        <v>24005430600</v>
      </c>
      <c r="B174" t="s">
        <v>12</v>
      </c>
      <c r="C174">
        <v>0.78859999999999997</v>
      </c>
      <c r="H174" t="str">
        <f t="shared" si="2"/>
        <v xml:space="preserve"> Halethorpe</v>
      </c>
    </row>
    <row r="175" spans="1:8" x14ac:dyDescent="0.2">
      <c r="A175">
        <v>24510260501</v>
      </c>
      <c r="B175" t="s">
        <v>48</v>
      </c>
      <c r="C175" s="7">
        <v>0.81899999999999995</v>
      </c>
      <c r="D175">
        <f>VLOOKUP(A175,bmore_income!$A$2:$C$324,3,FALSE)</f>
        <v>26814</v>
      </c>
      <c r="H175" t="str">
        <f t="shared" si="2"/>
        <v xml:space="preserve"> Baltimore</v>
      </c>
    </row>
    <row r="176" spans="1:8" hidden="1" x14ac:dyDescent="0.2">
      <c r="A176">
        <v>24005491401</v>
      </c>
      <c r="B176" t="s">
        <v>17</v>
      </c>
      <c r="C176">
        <v>0.78739999999999999</v>
      </c>
      <c r="H176" t="e">
        <f t="shared" si="2"/>
        <v>#VALUE!</v>
      </c>
    </row>
    <row r="177" spans="1:8" x14ac:dyDescent="0.2">
      <c r="A177">
        <v>24510270803</v>
      </c>
      <c r="B177" t="s">
        <v>67</v>
      </c>
      <c r="C177" s="7">
        <v>0.8105</v>
      </c>
      <c r="D177">
        <f>VLOOKUP(A177,bmore_income!$A$2:$C$324,3,FALSE)</f>
        <v>26856</v>
      </c>
      <c r="H177" t="str">
        <f t="shared" si="2"/>
        <v xml:space="preserve"> Baltimore</v>
      </c>
    </row>
    <row r="178" spans="1:8" x14ac:dyDescent="0.2">
      <c r="A178">
        <v>24510270801</v>
      </c>
      <c r="B178" t="s">
        <v>70</v>
      </c>
      <c r="C178" s="7">
        <v>0.84740000000000004</v>
      </c>
      <c r="D178">
        <f>VLOOKUP(A178,bmore_income!$A$2:$C$324,3,FALSE)</f>
        <v>26874</v>
      </c>
      <c r="H178" t="str">
        <f t="shared" si="2"/>
        <v xml:space="preserve"> Baltimore</v>
      </c>
    </row>
    <row r="179" spans="1:8" hidden="1" x14ac:dyDescent="0.2">
      <c r="A179">
        <v>24005420900</v>
      </c>
      <c r="B179" t="s">
        <v>21</v>
      </c>
      <c r="C179">
        <v>0.78459999999999996</v>
      </c>
      <c r="H179" t="e">
        <f t="shared" si="2"/>
        <v>#VALUE!</v>
      </c>
    </row>
    <row r="180" spans="1:8" x14ac:dyDescent="0.2">
      <c r="A180">
        <v>24005401302</v>
      </c>
      <c r="B180" t="s">
        <v>51</v>
      </c>
      <c r="C180" s="7">
        <v>0.78490000000000004</v>
      </c>
      <c r="D180">
        <f>VLOOKUP(A180,bmore_income!$A$2:$C$324,3,FALSE)</f>
        <v>26999</v>
      </c>
      <c r="H180" t="str">
        <f t="shared" si="2"/>
        <v xml:space="preserve"> Baltimore</v>
      </c>
    </row>
    <row r="181" spans="1:8" x14ac:dyDescent="0.2">
      <c r="A181">
        <v>24510270902</v>
      </c>
      <c r="B181" t="s">
        <v>71</v>
      </c>
      <c r="C181" s="7">
        <v>0.82989999999999997</v>
      </c>
      <c r="D181">
        <f>VLOOKUP(A181,bmore_income!$A$2:$C$324,3,FALSE)</f>
        <v>27017</v>
      </c>
      <c r="H181" t="str">
        <f t="shared" si="2"/>
        <v xml:space="preserve"> Baltimore</v>
      </c>
    </row>
    <row r="182" spans="1:8" hidden="1" x14ac:dyDescent="0.2">
      <c r="A182">
        <v>24005452300</v>
      </c>
      <c r="B182" t="s">
        <v>3</v>
      </c>
      <c r="C182">
        <v>0.78359999999999996</v>
      </c>
      <c r="H182" t="e">
        <f t="shared" si="2"/>
        <v>#VALUE!</v>
      </c>
    </row>
    <row r="183" spans="1:8" x14ac:dyDescent="0.2">
      <c r="A183">
        <v>24510270401</v>
      </c>
      <c r="B183" t="s">
        <v>28</v>
      </c>
      <c r="C183" s="7">
        <v>0.79179999999999995</v>
      </c>
      <c r="D183">
        <f>VLOOKUP(A183,bmore_income!$A$2:$C$324,3,FALSE)</f>
        <v>27033</v>
      </c>
      <c r="H183" t="str">
        <f t="shared" si="2"/>
        <v xml:space="preserve"> Baltimore</v>
      </c>
    </row>
    <row r="184" spans="1:8" hidden="1" x14ac:dyDescent="0.2">
      <c r="A184">
        <v>24005440400</v>
      </c>
      <c r="B184" t="s">
        <v>3</v>
      </c>
      <c r="C184">
        <v>0.78320000000000001</v>
      </c>
      <c r="H184" t="e">
        <f t="shared" si="2"/>
        <v>#VALUE!</v>
      </c>
    </row>
    <row r="185" spans="1:8" hidden="1" x14ac:dyDescent="0.2">
      <c r="A185">
        <v>24005430800</v>
      </c>
      <c r="B185" t="s">
        <v>22</v>
      </c>
      <c r="C185">
        <v>0.78280000000000005</v>
      </c>
      <c r="H185" t="e">
        <f t="shared" si="2"/>
        <v>#VALUE!</v>
      </c>
    </row>
    <row r="186" spans="1:8" x14ac:dyDescent="0.2">
      <c r="A186">
        <v>24510240400</v>
      </c>
      <c r="B186" t="s">
        <v>45</v>
      </c>
      <c r="C186" s="7">
        <v>0.84699999999999998</v>
      </c>
      <c r="D186">
        <f>VLOOKUP(A186,bmore_income!$A$2:$C$324,3,FALSE)</f>
        <v>27057</v>
      </c>
      <c r="H186" t="str">
        <f t="shared" si="2"/>
        <v xml:space="preserve"> Baltimore</v>
      </c>
    </row>
    <row r="187" spans="1:8" hidden="1" x14ac:dyDescent="0.2">
      <c r="A187">
        <v>24005420100</v>
      </c>
      <c r="B187" t="s">
        <v>21</v>
      </c>
      <c r="C187">
        <v>0.78200000000000003</v>
      </c>
      <c r="H187" t="e">
        <f t="shared" si="2"/>
        <v>#VALUE!</v>
      </c>
    </row>
    <row r="188" spans="1:8" x14ac:dyDescent="0.2">
      <c r="A188">
        <v>24510260102</v>
      </c>
      <c r="B188" t="s">
        <v>66</v>
      </c>
      <c r="C188" s="7">
        <v>0.85109999999999997</v>
      </c>
      <c r="D188">
        <f>VLOOKUP(A188,bmore_income!$A$2:$C$324,3,FALSE)</f>
        <v>27066</v>
      </c>
      <c r="H188" t="str">
        <f t="shared" si="2"/>
        <v xml:space="preserve"> Baltimore</v>
      </c>
    </row>
    <row r="189" spans="1:8" x14ac:dyDescent="0.2">
      <c r="A189">
        <v>24510080101</v>
      </c>
      <c r="B189" t="s">
        <v>62</v>
      </c>
      <c r="C189" s="7">
        <v>0.84219999999999995</v>
      </c>
      <c r="D189">
        <f>VLOOKUP(A189,bmore_income!$A$2:$C$324,3,FALSE)</f>
        <v>27120</v>
      </c>
      <c r="H189" t="str">
        <f t="shared" si="2"/>
        <v xml:space="preserve"> Baltimore</v>
      </c>
    </row>
    <row r="190" spans="1:8" hidden="1" x14ac:dyDescent="0.2">
      <c r="A190">
        <v>24003750101</v>
      </c>
      <c r="B190" t="s">
        <v>26</v>
      </c>
      <c r="C190">
        <v>0.78049999999999997</v>
      </c>
      <c r="H190" t="e">
        <f t="shared" si="2"/>
        <v>#VALUE!</v>
      </c>
    </row>
    <row r="191" spans="1:8" x14ac:dyDescent="0.2">
      <c r="A191">
        <v>24510270702</v>
      </c>
      <c r="B191" t="s">
        <v>36</v>
      </c>
      <c r="C191" s="7">
        <v>0.81859999999999999</v>
      </c>
      <c r="D191">
        <f>VLOOKUP(A191,bmore_income!$A$2:$C$324,3,FALSE)</f>
        <v>27141</v>
      </c>
      <c r="H191" t="str">
        <f t="shared" si="2"/>
        <v xml:space="preserve"> Baltimore</v>
      </c>
    </row>
    <row r="192" spans="1:8" x14ac:dyDescent="0.2">
      <c r="A192">
        <v>24510260101</v>
      </c>
      <c r="B192" t="s">
        <v>53</v>
      </c>
      <c r="C192" s="7">
        <v>0.82569999999999999</v>
      </c>
      <c r="D192">
        <f>VLOOKUP(A192,bmore_income!$A$2:$C$324,3,FALSE)</f>
        <v>27213</v>
      </c>
      <c r="H192" t="str">
        <f t="shared" si="2"/>
        <v xml:space="preserve"> Baltimore</v>
      </c>
    </row>
    <row r="193" spans="1:8" x14ac:dyDescent="0.2">
      <c r="A193">
        <v>24510261100</v>
      </c>
      <c r="B193" t="s">
        <v>27</v>
      </c>
      <c r="C193" s="7">
        <v>0.81489999999999996</v>
      </c>
      <c r="D193">
        <f>VLOOKUP(A193,bmore_income!$A$2:$C$324,3,FALSE)</f>
        <v>27541</v>
      </c>
      <c r="H193" t="str">
        <f t="shared" si="2"/>
        <v xml:space="preserve"> Baltimore</v>
      </c>
    </row>
    <row r="194" spans="1:8" x14ac:dyDescent="0.2">
      <c r="A194">
        <v>24510040100</v>
      </c>
      <c r="B194" t="s">
        <v>58</v>
      </c>
      <c r="C194" s="7">
        <v>0.65680000000000005</v>
      </c>
      <c r="D194">
        <f>VLOOKUP(A194,bmore_income!$A$2:$C$324,3,FALSE)</f>
        <v>27593</v>
      </c>
      <c r="H194" t="str">
        <f t="shared" si="2"/>
        <v xml:space="preserve"> Baltimore</v>
      </c>
    </row>
    <row r="195" spans="1:8" hidden="1" x14ac:dyDescent="0.2">
      <c r="A195">
        <v>24005440600</v>
      </c>
      <c r="B195" t="s">
        <v>16</v>
      </c>
      <c r="C195">
        <v>0.77790000000000004</v>
      </c>
      <c r="H195" t="e">
        <f t="shared" ref="H195:H258" si="3">MID($B195, FIND(",",$B195)+1, FIND(",",$B195,FIND(",",$B195)+1) -1 -FIND(",",$B195))</f>
        <v>#VALUE!</v>
      </c>
    </row>
    <row r="196" spans="1:8" hidden="1" x14ac:dyDescent="0.2">
      <c r="A196">
        <v>24005421000</v>
      </c>
      <c r="B196" t="s">
        <v>21</v>
      </c>
      <c r="C196">
        <v>0.77749999999999997</v>
      </c>
      <c r="H196" t="e">
        <f t="shared" si="3"/>
        <v>#VALUE!</v>
      </c>
    </row>
    <row r="197" spans="1:8" x14ac:dyDescent="0.2">
      <c r="A197">
        <v>24510270903</v>
      </c>
      <c r="B197" t="s">
        <v>61</v>
      </c>
      <c r="C197" s="7">
        <v>0.81540000000000001</v>
      </c>
      <c r="D197">
        <f>VLOOKUP(A197,bmore_income!$A$2:$C$324,3,FALSE)</f>
        <v>27612</v>
      </c>
      <c r="H197" t="str">
        <f t="shared" si="3"/>
        <v xml:space="preserve"> Baltimore</v>
      </c>
    </row>
    <row r="198" spans="1:8" hidden="1" x14ac:dyDescent="0.2">
      <c r="A198">
        <v>24005421102</v>
      </c>
      <c r="B198" t="s">
        <v>21</v>
      </c>
      <c r="C198">
        <v>0.77629999999999999</v>
      </c>
      <c r="H198" t="e">
        <f t="shared" si="3"/>
        <v>#VALUE!</v>
      </c>
    </row>
    <row r="199" spans="1:8" hidden="1" x14ac:dyDescent="0.2">
      <c r="A199">
        <v>24005401200</v>
      </c>
      <c r="B199" t="s">
        <v>46</v>
      </c>
      <c r="C199">
        <v>0.77500000000000002</v>
      </c>
      <c r="H199" t="e">
        <f t="shared" si="3"/>
        <v>#VALUE!</v>
      </c>
    </row>
    <row r="200" spans="1:8" hidden="1" x14ac:dyDescent="0.2">
      <c r="A200">
        <v>24005430700</v>
      </c>
      <c r="B200" t="s">
        <v>22</v>
      </c>
      <c r="C200">
        <v>0.77380000000000004</v>
      </c>
      <c r="H200" t="e">
        <f t="shared" si="3"/>
        <v>#VALUE!</v>
      </c>
    </row>
    <row r="201" spans="1:8" x14ac:dyDescent="0.2">
      <c r="A201">
        <v>24510130700</v>
      </c>
      <c r="B201" t="s">
        <v>39</v>
      </c>
      <c r="C201" s="7">
        <v>0.74760000000000004</v>
      </c>
      <c r="D201">
        <f>VLOOKUP(A201,bmore_income!$A$2:$C$324,3,FALSE)</f>
        <v>27631</v>
      </c>
      <c r="H201" t="str">
        <f t="shared" si="3"/>
        <v xml:space="preserve"> Baltimore</v>
      </c>
    </row>
    <row r="202" spans="1:8" hidden="1" x14ac:dyDescent="0.2">
      <c r="A202">
        <v>24005420701</v>
      </c>
      <c r="B202" t="s">
        <v>21</v>
      </c>
      <c r="C202">
        <v>0.76939999999999997</v>
      </c>
      <c r="H202" t="e">
        <f t="shared" si="3"/>
        <v>#VALUE!</v>
      </c>
    </row>
    <row r="203" spans="1:8" hidden="1" x14ac:dyDescent="0.2">
      <c r="A203">
        <v>24005401102</v>
      </c>
      <c r="B203" t="s">
        <v>50</v>
      </c>
      <c r="C203">
        <v>0.76919999999999999</v>
      </c>
      <c r="H203" t="str">
        <f t="shared" si="3"/>
        <v xml:space="preserve"> Woodlawn</v>
      </c>
    </row>
    <row r="204" spans="1:8" x14ac:dyDescent="0.2">
      <c r="A204">
        <v>24510272006</v>
      </c>
      <c r="B204" t="s">
        <v>38</v>
      </c>
      <c r="C204" s="7">
        <v>0.61580000000000001</v>
      </c>
      <c r="D204">
        <f>VLOOKUP(A204,bmore_income!$A$2:$C$324,3,FALSE)</f>
        <v>27663</v>
      </c>
      <c r="H204" t="str">
        <f t="shared" si="3"/>
        <v xml:space="preserve"> Baltimore</v>
      </c>
    </row>
    <row r="205" spans="1:8" hidden="1" x14ac:dyDescent="0.2">
      <c r="A205">
        <v>24005440500</v>
      </c>
      <c r="B205" t="s">
        <v>13</v>
      </c>
      <c r="C205">
        <v>0.76859999999999995</v>
      </c>
      <c r="H205" t="e">
        <f t="shared" si="3"/>
        <v>#VALUE!</v>
      </c>
    </row>
    <row r="206" spans="1:8" hidden="1" x14ac:dyDescent="0.2">
      <c r="A206">
        <v>24005403201</v>
      </c>
      <c r="B206" t="s">
        <v>55</v>
      </c>
      <c r="C206">
        <v>0.7671</v>
      </c>
      <c r="H206" t="str">
        <f t="shared" si="3"/>
        <v xml:space="preserve"> Lochearn</v>
      </c>
    </row>
    <row r="207" spans="1:8" x14ac:dyDescent="0.2">
      <c r="A207">
        <v>24510270301</v>
      </c>
      <c r="B207" t="s">
        <v>41</v>
      </c>
      <c r="C207" s="7">
        <v>0.7964</v>
      </c>
      <c r="D207">
        <f>VLOOKUP(A207,bmore_income!$A$2:$C$324,3,FALSE)</f>
        <v>28209</v>
      </c>
      <c r="H207" t="str">
        <f t="shared" si="3"/>
        <v xml:space="preserve"> Baltimore</v>
      </c>
    </row>
    <row r="208" spans="1:8" x14ac:dyDescent="0.2">
      <c r="A208">
        <v>24510250103</v>
      </c>
      <c r="B208" t="s">
        <v>31</v>
      </c>
      <c r="C208" s="7">
        <v>0.74180000000000001</v>
      </c>
      <c r="D208">
        <f>VLOOKUP(A208,bmore_income!$A$2:$C$324,3,FALSE)</f>
        <v>28314</v>
      </c>
      <c r="H208" t="str">
        <f t="shared" si="3"/>
        <v xml:space="preserve"> Baltimore</v>
      </c>
    </row>
    <row r="209" spans="1:8" x14ac:dyDescent="0.2">
      <c r="A209">
        <v>24510270802</v>
      </c>
      <c r="B209" t="s">
        <v>64</v>
      </c>
      <c r="C209" s="7">
        <v>0.84660000000000002</v>
      </c>
      <c r="D209">
        <f>VLOOKUP(A209,bmore_income!$A$2:$C$324,3,FALSE)</f>
        <v>28407</v>
      </c>
      <c r="H209" t="str">
        <f t="shared" si="3"/>
        <v xml:space="preserve"> Baltimore</v>
      </c>
    </row>
    <row r="210" spans="1:8" hidden="1" x14ac:dyDescent="0.2">
      <c r="A210">
        <v>24005440300</v>
      </c>
      <c r="B210" t="s">
        <v>13</v>
      </c>
      <c r="C210">
        <v>0.75960000000000005</v>
      </c>
      <c r="H210" t="e">
        <f t="shared" si="3"/>
        <v>#VALUE!</v>
      </c>
    </row>
    <row r="211" spans="1:8" x14ac:dyDescent="0.2">
      <c r="A211">
        <v>24510240100</v>
      </c>
      <c r="B211" t="s">
        <v>29</v>
      </c>
      <c r="C211" s="7">
        <v>0.75849999999999995</v>
      </c>
      <c r="D211">
        <f>VLOOKUP(A211,bmore_income!$A$2:$C$324,3,FALSE)</f>
        <v>28528</v>
      </c>
      <c r="H211" t="str">
        <f t="shared" si="3"/>
        <v xml:space="preserve"> Baltimore</v>
      </c>
    </row>
    <row r="212" spans="1:8" x14ac:dyDescent="0.2">
      <c r="A212">
        <v>24510010100</v>
      </c>
      <c r="B212" t="s">
        <v>27</v>
      </c>
      <c r="C212" s="7">
        <v>0.75519999999999998</v>
      </c>
      <c r="D212">
        <f>VLOOKUP(A212,bmore_income!$A$2:$C$324,3,FALSE)</f>
        <v>28566</v>
      </c>
      <c r="H212" t="str">
        <f t="shared" si="3"/>
        <v xml:space="preserve"> Baltimore</v>
      </c>
    </row>
    <row r="213" spans="1:8" x14ac:dyDescent="0.2">
      <c r="A213">
        <v>24510090200</v>
      </c>
      <c r="B213" t="s">
        <v>63</v>
      </c>
      <c r="C213" s="7">
        <v>0.78239999999999998</v>
      </c>
      <c r="D213">
        <f>VLOOKUP(A213,bmore_income!$A$2:$C$324,3,FALSE)</f>
        <v>28832</v>
      </c>
      <c r="H213" t="str">
        <f t="shared" si="3"/>
        <v xml:space="preserve"> Baltimore</v>
      </c>
    </row>
    <row r="214" spans="1:8" x14ac:dyDescent="0.2">
      <c r="A214">
        <v>24510140100</v>
      </c>
      <c r="B214" t="s">
        <v>44</v>
      </c>
      <c r="C214" s="7">
        <v>0.69399999999999995</v>
      </c>
      <c r="D214">
        <f>VLOOKUP(A214,bmore_income!$A$2:$C$324,3,FALSE)</f>
        <v>28926</v>
      </c>
      <c r="H214" t="str">
        <f t="shared" si="3"/>
        <v xml:space="preserve"> Baltimore</v>
      </c>
    </row>
    <row r="215" spans="1:8" hidden="1" x14ac:dyDescent="0.2">
      <c r="A215">
        <v>24003750300</v>
      </c>
      <c r="B215" t="s">
        <v>18</v>
      </c>
      <c r="C215">
        <v>0.75480000000000003</v>
      </c>
      <c r="H215" t="e">
        <f t="shared" si="3"/>
        <v>#VALUE!</v>
      </c>
    </row>
    <row r="216" spans="1:8" hidden="1" x14ac:dyDescent="0.2">
      <c r="A216">
        <v>24005430900</v>
      </c>
      <c r="B216" t="s">
        <v>3</v>
      </c>
      <c r="C216">
        <v>0.75209999999999999</v>
      </c>
      <c r="H216" t="e">
        <f t="shared" si="3"/>
        <v>#VALUE!</v>
      </c>
    </row>
    <row r="217" spans="1:8" x14ac:dyDescent="0.2">
      <c r="A217">
        <v>24510271101</v>
      </c>
      <c r="B217" t="s">
        <v>35</v>
      </c>
      <c r="C217" s="7">
        <v>0.72629999999999995</v>
      </c>
      <c r="D217">
        <f>VLOOKUP(A217,bmore_income!$A$2:$C$324,3,FALSE)</f>
        <v>28958</v>
      </c>
      <c r="H217" t="str">
        <f t="shared" si="3"/>
        <v xml:space="preserve"> Baltimore</v>
      </c>
    </row>
    <row r="218" spans="1:8" x14ac:dyDescent="0.2">
      <c r="A218">
        <v>24510130803</v>
      </c>
      <c r="B218" t="s">
        <v>49</v>
      </c>
      <c r="C218" s="7">
        <v>0.75849999999999995</v>
      </c>
      <c r="D218">
        <f>VLOOKUP(A218,bmore_income!$A$2:$C$324,3,FALSE)</f>
        <v>29004</v>
      </c>
      <c r="H218" t="str">
        <f t="shared" si="3"/>
        <v xml:space="preserve"> Baltimore</v>
      </c>
    </row>
    <row r="219" spans="1:8" hidden="1" x14ac:dyDescent="0.2">
      <c r="A219">
        <v>24005440100</v>
      </c>
      <c r="B219" t="s">
        <v>3</v>
      </c>
      <c r="C219">
        <v>0.746</v>
      </c>
      <c r="H219" t="e">
        <f t="shared" si="3"/>
        <v>#VALUE!</v>
      </c>
    </row>
    <row r="220" spans="1:8" x14ac:dyDescent="0.2">
      <c r="A220">
        <v>24003750201</v>
      </c>
      <c r="B220" t="s">
        <v>47</v>
      </c>
      <c r="C220" s="7">
        <v>0.77969999999999995</v>
      </c>
      <c r="D220">
        <f>VLOOKUP(A220,bmore_income!$A$2:$C$324,3,FALSE)</f>
        <v>29204</v>
      </c>
      <c r="H220" t="str">
        <f t="shared" si="3"/>
        <v xml:space="preserve"> Baltimore</v>
      </c>
    </row>
    <row r="221" spans="1:8" hidden="1" x14ac:dyDescent="0.2">
      <c r="A221">
        <v>24003750202</v>
      </c>
      <c r="B221" t="s">
        <v>26</v>
      </c>
      <c r="C221">
        <v>0.74109999999999998</v>
      </c>
      <c r="H221" t="e">
        <f t="shared" si="3"/>
        <v>#VALUE!</v>
      </c>
    </row>
    <row r="222" spans="1:8" x14ac:dyDescent="0.2">
      <c r="A222">
        <v>24510270102</v>
      </c>
      <c r="B222" t="s">
        <v>32</v>
      </c>
      <c r="C222" s="7">
        <v>0.78439999999999999</v>
      </c>
      <c r="D222">
        <f>VLOOKUP(A222,bmore_income!$A$2:$C$324,3,FALSE)</f>
        <v>29343</v>
      </c>
      <c r="H222" t="str">
        <f t="shared" si="3"/>
        <v xml:space="preserve"> Baltimore</v>
      </c>
    </row>
    <row r="223" spans="1:8" hidden="1" x14ac:dyDescent="0.2">
      <c r="A223">
        <v>24005403402</v>
      </c>
      <c r="B223" t="s">
        <v>4</v>
      </c>
      <c r="C223">
        <v>0.73729999999999996</v>
      </c>
      <c r="H223" t="e">
        <f t="shared" si="3"/>
        <v>#VALUE!</v>
      </c>
    </row>
    <row r="224" spans="1:8" x14ac:dyDescent="0.2">
      <c r="A224">
        <v>24510010400</v>
      </c>
      <c r="B224" t="s">
        <v>27</v>
      </c>
      <c r="C224" s="7">
        <v>0.62080000000000002</v>
      </c>
      <c r="D224">
        <f>VLOOKUP(A224,bmore_income!$A$2:$C$324,3,FALSE)</f>
        <v>29977</v>
      </c>
      <c r="H224" t="str">
        <f t="shared" si="3"/>
        <v xml:space="preserve"> Baltimore</v>
      </c>
    </row>
    <row r="225" spans="1:8" x14ac:dyDescent="0.2">
      <c r="A225">
        <v>24510270101</v>
      </c>
      <c r="B225" t="s">
        <v>34</v>
      </c>
      <c r="C225" s="7">
        <v>0.78359999999999996</v>
      </c>
      <c r="D225">
        <f>VLOOKUP(A225,bmore_income!$A$2:$C$324,3,FALSE)</f>
        <v>30012</v>
      </c>
      <c r="H225" t="str">
        <f t="shared" si="3"/>
        <v xml:space="preserve"> Baltimore</v>
      </c>
    </row>
    <row r="226" spans="1:8" hidden="1" x14ac:dyDescent="0.2">
      <c r="A226">
        <v>24005440200</v>
      </c>
      <c r="B226" t="s">
        <v>13</v>
      </c>
      <c r="C226">
        <v>0.73550000000000004</v>
      </c>
      <c r="H226" t="e">
        <f t="shared" si="3"/>
        <v>#VALUE!</v>
      </c>
    </row>
    <row r="227" spans="1:8" x14ac:dyDescent="0.2">
      <c r="A227">
        <v>24510270804</v>
      </c>
      <c r="B227" t="s">
        <v>30</v>
      </c>
      <c r="C227" s="7">
        <v>0.70240000000000002</v>
      </c>
      <c r="D227">
        <f>VLOOKUP(A227,bmore_income!$A$2:$C$324,3,FALSE)</f>
        <v>30017</v>
      </c>
      <c r="H227" t="str">
        <f t="shared" si="3"/>
        <v xml:space="preserve"> Baltimore</v>
      </c>
    </row>
    <row r="228" spans="1:8" hidden="1" x14ac:dyDescent="0.2">
      <c r="A228">
        <v>24005400702</v>
      </c>
      <c r="B228" t="s">
        <v>3</v>
      </c>
      <c r="C228">
        <v>0.73070000000000002</v>
      </c>
      <c r="H228" t="e">
        <f t="shared" si="3"/>
        <v>#VALUE!</v>
      </c>
    </row>
    <row r="229" spans="1:8" x14ac:dyDescent="0.2">
      <c r="A229">
        <v>24510280403</v>
      </c>
      <c r="B229" t="s">
        <v>43</v>
      </c>
      <c r="C229" s="7">
        <v>0.77700000000000002</v>
      </c>
      <c r="D229">
        <f>VLOOKUP(A229,bmore_income!$A$2:$C$324,3,FALSE)</f>
        <v>30115</v>
      </c>
      <c r="H229" t="str">
        <f t="shared" si="3"/>
        <v xml:space="preserve"> Baltimore</v>
      </c>
    </row>
    <row r="230" spans="1:8" hidden="1" x14ac:dyDescent="0.2">
      <c r="A230">
        <v>24005492102</v>
      </c>
      <c r="B230" t="s">
        <v>17</v>
      </c>
      <c r="C230">
        <v>0.7238</v>
      </c>
      <c r="H230" t="e">
        <f t="shared" si="3"/>
        <v>#VALUE!</v>
      </c>
    </row>
    <row r="231" spans="1:8" hidden="1" x14ac:dyDescent="0.2">
      <c r="A231">
        <v>24005491402</v>
      </c>
      <c r="B231" t="s">
        <v>17</v>
      </c>
      <c r="C231">
        <v>0.71719999999999995</v>
      </c>
      <c r="H231" t="e">
        <f t="shared" si="3"/>
        <v>#VALUE!</v>
      </c>
    </row>
    <row r="232" spans="1:8" hidden="1" x14ac:dyDescent="0.2">
      <c r="A232">
        <v>24003751200</v>
      </c>
      <c r="B232" t="s">
        <v>18</v>
      </c>
      <c r="C232">
        <v>0.71479999999999999</v>
      </c>
      <c r="H232" t="e">
        <f t="shared" si="3"/>
        <v>#VALUE!</v>
      </c>
    </row>
    <row r="233" spans="1:8" hidden="1" x14ac:dyDescent="0.2">
      <c r="A233">
        <v>24005400600</v>
      </c>
      <c r="B233" t="s">
        <v>9</v>
      </c>
      <c r="C233">
        <v>0.70909999999999995</v>
      </c>
      <c r="H233" t="e">
        <f t="shared" si="3"/>
        <v>#VALUE!</v>
      </c>
    </row>
    <row r="234" spans="1:8" x14ac:dyDescent="0.2">
      <c r="A234">
        <v>24510272005</v>
      </c>
      <c r="B234" t="s">
        <v>14</v>
      </c>
      <c r="C234" s="7">
        <v>0.54649999999999999</v>
      </c>
      <c r="D234">
        <f>VLOOKUP(A234,bmore_income!$A$2:$C$324,3,FALSE)</f>
        <v>30136</v>
      </c>
      <c r="H234" t="str">
        <f t="shared" si="3"/>
        <v xml:space="preserve"> Baltimore</v>
      </c>
    </row>
    <row r="235" spans="1:8" hidden="1" x14ac:dyDescent="0.2">
      <c r="A235">
        <v>24510120201</v>
      </c>
      <c r="B235" t="s">
        <v>3</v>
      </c>
      <c r="C235">
        <v>0.70209999999999995</v>
      </c>
      <c r="H235" t="e">
        <f t="shared" si="3"/>
        <v>#VALUE!</v>
      </c>
    </row>
    <row r="236" spans="1:8" x14ac:dyDescent="0.2">
      <c r="A236">
        <v>24510270600</v>
      </c>
      <c r="B236" t="s">
        <v>36</v>
      </c>
      <c r="C236" s="7">
        <v>0.78110000000000002</v>
      </c>
      <c r="D236">
        <f>VLOOKUP(A236,bmore_income!$A$2:$C$324,3,FALSE)</f>
        <v>30776</v>
      </c>
      <c r="H236" t="str">
        <f t="shared" si="3"/>
        <v xml:space="preserve"> Baltimore</v>
      </c>
    </row>
    <row r="237" spans="1:8" hidden="1" x14ac:dyDescent="0.2">
      <c r="A237">
        <v>24005400100</v>
      </c>
      <c r="B237" t="s">
        <v>9</v>
      </c>
      <c r="C237">
        <v>0.69379999999999997</v>
      </c>
      <c r="H237" t="e">
        <f t="shared" si="3"/>
        <v>#VALUE!</v>
      </c>
    </row>
    <row r="238" spans="1:8" x14ac:dyDescent="0.2">
      <c r="A238">
        <v>24510270501</v>
      </c>
      <c r="B238" t="s">
        <v>24</v>
      </c>
      <c r="C238" s="7">
        <v>0.75760000000000005</v>
      </c>
      <c r="D238">
        <f>VLOOKUP(A238,bmore_income!$A$2:$C$324,3,FALSE)</f>
        <v>31089</v>
      </c>
      <c r="H238" t="str">
        <f t="shared" si="3"/>
        <v xml:space="preserve"> Baltimore</v>
      </c>
    </row>
    <row r="239" spans="1:8" hidden="1" x14ac:dyDescent="0.2">
      <c r="A239">
        <v>24005491100</v>
      </c>
      <c r="B239" t="s">
        <v>3</v>
      </c>
      <c r="C239">
        <v>0.68100000000000005</v>
      </c>
      <c r="H239" t="e">
        <f t="shared" si="3"/>
        <v>#VALUE!</v>
      </c>
    </row>
    <row r="240" spans="1:8" x14ac:dyDescent="0.2">
      <c r="A240">
        <v>24510270200</v>
      </c>
      <c r="B240" t="s">
        <v>41</v>
      </c>
      <c r="C240" s="7">
        <v>0.748</v>
      </c>
      <c r="D240">
        <f>VLOOKUP(A240,bmore_income!$A$2:$C$324,3,FALSE)</f>
        <v>31128</v>
      </c>
      <c r="H240" t="str">
        <f t="shared" si="3"/>
        <v xml:space="preserve"> Baltimore</v>
      </c>
    </row>
    <row r="241" spans="1:8" x14ac:dyDescent="0.2">
      <c r="A241">
        <v>24510270502</v>
      </c>
      <c r="B241" t="s">
        <v>20</v>
      </c>
      <c r="C241" s="7">
        <v>0.7369</v>
      </c>
      <c r="D241">
        <f>VLOOKUP(A241,bmore_income!$A$2:$C$324,3,FALSE)</f>
        <v>31310</v>
      </c>
      <c r="H241" t="str">
        <f t="shared" si="3"/>
        <v xml:space="preserve"> Baltimore</v>
      </c>
    </row>
    <row r="242" spans="1:8" x14ac:dyDescent="0.2">
      <c r="A242">
        <v>24005402403</v>
      </c>
      <c r="B242" t="s">
        <v>51</v>
      </c>
      <c r="C242" s="7">
        <v>0.83960000000000001</v>
      </c>
      <c r="D242">
        <f>VLOOKUP(A242,bmore_income!$A$2:$C$324,3,FALSE)</f>
        <v>31968</v>
      </c>
      <c r="H242" t="str">
        <f t="shared" si="3"/>
        <v xml:space="preserve"> Baltimore</v>
      </c>
    </row>
    <row r="243" spans="1:8" x14ac:dyDescent="0.2">
      <c r="A243">
        <v>24510272004</v>
      </c>
      <c r="B243" t="s">
        <v>23</v>
      </c>
      <c r="C243" s="7">
        <v>0.58440000000000003</v>
      </c>
      <c r="D243">
        <f>VLOOKUP(A243,bmore_income!$A$2:$C$324,3,FALSE)</f>
        <v>32277</v>
      </c>
      <c r="H243" t="str">
        <f t="shared" si="3"/>
        <v xml:space="preserve"> Baltimore</v>
      </c>
    </row>
    <row r="244" spans="1:8" hidden="1" x14ac:dyDescent="0.2">
      <c r="A244">
        <v>24510220100</v>
      </c>
      <c r="B244" t="s">
        <v>3</v>
      </c>
      <c r="C244">
        <v>0.66520000000000001</v>
      </c>
      <c r="H244" t="e">
        <f t="shared" si="3"/>
        <v>#VALUE!</v>
      </c>
    </row>
    <row r="245" spans="1:8" hidden="1" x14ac:dyDescent="0.2">
      <c r="A245">
        <v>24510272003</v>
      </c>
      <c r="B245" t="s">
        <v>3</v>
      </c>
      <c r="C245">
        <v>0.66059999999999997</v>
      </c>
      <c r="H245" t="e">
        <f t="shared" si="3"/>
        <v>#VALUE!</v>
      </c>
    </row>
    <row r="246" spans="1:8" x14ac:dyDescent="0.2">
      <c r="A246">
        <v>24510270402</v>
      </c>
      <c r="B246" t="s">
        <v>28</v>
      </c>
      <c r="C246" s="7">
        <v>0.79749999999999999</v>
      </c>
      <c r="D246">
        <f>VLOOKUP(A246,bmore_income!$A$2:$C$324,3,FALSE)</f>
        <v>32371</v>
      </c>
      <c r="H246" t="str">
        <f t="shared" si="3"/>
        <v xml:space="preserve"> Baltimore</v>
      </c>
    </row>
    <row r="247" spans="1:8" hidden="1" x14ac:dyDescent="0.2">
      <c r="A247">
        <v>24005400200</v>
      </c>
      <c r="B247" t="s">
        <v>9</v>
      </c>
      <c r="C247">
        <v>0.65490000000000004</v>
      </c>
      <c r="H247" t="e">
        <f t="shared" si="3"/>
        <v>#VALUE!</v>
      </c>
    </row>
    <row r="248" spans="1:8" hidden="1" x14ac:dyDescent="0.2">
      <c r="A248">
        <v>24005491300</v>
      </c>
      <c r="B248" t="s">
        <v>3</v>
      </c>
      <c r="C248">
        <v>0.65329999999999999</v>
      </c>
      <c r="H248" t="e">
        <f t="shared" si="3"/>
        <v>#VALUE!</v>
      </c>
    </row>
    <row r="249" spans="1:8" hidden="1" x14ac:dyDescent="0.2">
      <c r="A249">
        <v>24005400400</v>
      </c>
      <c r="B249" t="s">
        <v>9</v>
      </c>
      <c r="C249">
        <v>0.64580000000000004</v>
      </c>
      <c r="H249" t="e">
        <f t="shared" si="3"/>
        <v>#VALUE!</v>
      </c>
    </row>
    <row r="250" spans="1:8" x14ac:dyDescent="0.2">
      <c r="A250">
        <v>24510270302</v>
      </c>
      <c r="B250" t="s">
        <v>32</v>
      </c>
      <c r="C250" s="7">
        <v>0.76890000000000003</v>
      </c>
      <c r="D250">
        <f>VLOOKUP(A250,bmore_income!$A$2:$C$324,3,FALSE)</f>
        <v>32647</v>
      </c>
      <c r="H250" t="str">
        <f t="shared" si="3"/>
        <v xml:space="preserve"> Baltimore</v>
      </c>
    </row>
    <row r="251" spans="1:8" x14ac:dyDescent="0.2">
      <c r="A251">
        <v>24510270703</v>
      </c>
      <c r="B251" t="s">
        <v>20</v>
      </c>
      <c r="C251" s="7">
        <v>0.76060000000000005</v>
      </c>
      <c r="D251">
        <f>VLOOKUP(A251,bmore_income!$A$2:$C$324,3,FALSE)</f>
        <v>34890</v>
      </c>
      <c r="H251" t="str">
        <f t="shared" si="3"/>
        <v xml:space="preserve"> Baltimore</v>
      </c>
    </row>
    <row r="252" spans="1:8" x14ac:dyDescent="0.2">
      <c r="A252">
        <v>24510271503</v>
      </c>
      <c r="B252" t="s">
        <v>25</v>
      </c>
      <c r="C252" s="7">
        <v>0.60899999999999999</v>
      </c>
      <c r="D252">
        <f>VLOOKUP(A252,bmore_income!$A$2:$C$324,3,FALSE)</f>
        <v>35185</v>
      </c>
      <c r="H252" t="str">
        <f t="shared" si="3"/>
        <v xml:space="preserve"> Baltimore</v>
      </c>
    </row>
    <row r="253" spans="1:8" x14ac:dyDescent="0.2">
      <c r="A253">
        <v>24510130805</v>
      </c>
      <c r="B253" t="s">
        <v>40</v>
      </c>
      <c r="C253" s="7">
        <v>0.67200000000000004</v>
      </c>
      <c r="D253">
        <f>VLOOKUP(A253,bmore_income!$A$2:$C$324,3,FALSE)</f>
        <v>35573</v>
      </c>
      <c r="H253" t="str">
        <f t="shared" si="3"/>
        <v xml:space="preserve"> Baltimore</v>
      </c>
    </row>
    <row r="254" spans="1:8" x14ac:dyDescent="0.2">
      <c r="A254">
        <v>24510240200</v>
      </c>
      <c r="B254" t="s">
        <v>19</v>
      </c>
      <c r="C254" s="7">
        <v>0.73919999999999997</v>
      </c>
      <c r="D254">
        <f>VLOOKUP(A254,bmore_income!$A$2:$C$324,3,FALSE)</f>
        <v>37172</v>
      </c>
      <c r="H254" t="str">
        <f t="shared" si="3"/>
        <v xml:space="preserve"> Baltimore</v>
      </c>
    </row>
    <row r="255" spans="1:8" hidden="1" x14ac:dyDescent="0.2">
      <c r="A255">
        <v>24005491000</v>
      </c>
      <c r="B255" t="s">
        <v>3</v>
      </c>
      <c r="C255">
        <v>0.56430000000000002</v>
      </c>
      <c r="H255" t="e">
        <f t="shared" si="3"/>
        <v>#VALUE!</v>
      </c>
    </row>
    <row r="256" spans="1:8" hidden="1" x14ac:dyDescent="0.2">
      <c r="A256">
        <v>24005403500</v>
      </c>
      <c r="B256" t="s">
        <v>4</v>
      </c>
      <c r="C256">
        <v>0.55930000000000002</v>
      </c>
      <c r="H256" t="e">
        <f t="shared" si="3"/>
        <v>#VALUE!</v>
      </c>
    </row>
    <row r="257" spans="1:8" hidden="1" x14ac:dyDescent="0.2">
      <c r="A257">
        <v>24005403601</v>
      </c>
      <c r="B257" t="s">
        <v>3</v>
      </c>
      <c r="C257">
        <v>0.54830000000000001</v>
      </c>
      <c r="H257" t="e">
        <f t="shared" si="3"/>
        <v>#VALUE!</v>
      </c>
    </row>
    <row r="258" spans="1:8" x14ac:dyDescent="0.2">
      <c r="A258">
        <v>24510271102</v>
      </c>
      <c r="B258" t="s">
        <v>10</v>
      </c>
      <c r="C258" s="7">
        <v>0.37590000000000001</v>
      </c>
      <c r="D258">
        <f>VLOOKUP(A258,bmore_income!$A$2:$C$324,3,FALSE)</f>
        <v>37888</v>
      </c>
      <c r="H258" t="str">
        <f t="shared" si="3"/>
        <v xml:space="preserve"> Baltimore</v>
      </c>
    </row>
    <row r="259" spans="1:8" hidden="1" x14ac:dyDescent="0.2">
      <c r="A259">
        <v>24005403602</v>
      </c>
      <c r="B259" t="s">
        <v>3</v>
      </c>
      <c r="C259">
        <v>0.5363</v>
      </c>
      <c r="H259" t="e">
        <f t="shared" ref="H259:H270" si="4">MID($B259, FIND(",",$B259)+1, FIND(",",$B259,FIND(",",$B259)+1) -1 -FIND(",",$B259))</f>
        <v>#VALUE!</v>
      </c>
    </row>
    <row r="260" spans="1:8" hidden="1" x14ac:dyDescent="0.2">
      <c r="A260">
        <v>24005490500</v>
      </c>
      <c r="B260" t="s">
        <v>2</v>
      </c>
      <c r="C260">
        <v>0.53159999999999996</v>
      </c>
      <c r="H260" t="e">
        <f t="shared" si="4"/>
        <v>#VALUE!</v>
      </c>
    </row>
    <row r="261" spans="1:8" hidden="1" x14ac:dyDescent="0.2">
      <c r="A261">
        <v>24005490603</v>
      </c>
      <c r="B261" t="s">
        <v>3</v>
      </c>
      <c r="C261">
        <v>0.52380000000000004</v>
      </c>
      <c r="H261" t="e">
        <f t="shared" si="4"/>
        <v>#VALUE!</v>
      </c>
    </row>
    <row r="262" spans="1:8" x14ac:dyDescent="0.2">
      <c r="A262">
        <v>24510020300</v>
      </c>
      <c r="B262" t="s">
        <v>15</v>
      </c>
      <c r="C262" s="7">
        <v>0.5665</v>
      </c>
      <c r="D262">
        <f>VLOOKUP(A262,bmore_income!$A$2:$C$324,3,FALSE)</f>
        <v>39150</v>
      </c>
      <c r="H262" t="str">
        <f t="shared" si="4"/>
        <v xml:space="preserve"> Baltimore</v>
      </c>
    </row>
    <row r="263" spans="1:8" x14ac:dyDescent="0.2">
      <c r="A263">
        <v>24510271200</v>
      </c>
      <c r="B263" t="s">
        <v>8</v>
      </c>
      <c r="C263" s="7">
        <v>0.51659999999999995</v>
      </c>
      <c r="D263">
        <f>VLOOKUP(A263,bmore_income!$A$2:$C$324,3,FALSE)</f>
        <v>42081</v>
      </c>
      <c r="H263" t="str">
        <f t="shared" si="4"/>
        <v xml:space="preserve"> Baltimore</v>
      </c>
    </row>
    <row r="264" spans="1:8" x14ac:dyDescent="0.2">
      <c r="A264">
        <v>24510271300</v>
      </c>
      <c r="B264" t="s">
        <v>7</v>
      </c>
      <c r="C264" s="7">
        <v>0.4153</v>
      </c>
      <c r="D264">
        <f>VLOOKUP(A264,bmore_income!$A$2:$C$324,3,FALSE)</f>
        <v>42781</v>
      </c>
      <c r="H264" t="str">
        <f t="shared" si="4"/>
        <v xml:space="preserve"> Baltimore</v>
      </c>
    </row>
    <row r="265" spans="1:8" x14ac:dyDescent="0.2">
      <c r="A265">
        <v>24510120100</v>
      </c>
      <c r="B265" t="s">
        <v>11</v>
      </c>
      <c r="C265" s="7">
        <v>0.47139999999999999</v>
      </c>
      <c r="D265">
        <f>VLOOKUP(A265,bmore_income!$A$2:$C$324,3,FALSE)</f>
        <v>43386</v>
      </c>
      <c r="H265" t="str">
        <f t="shared" si="4"/>
        <v xml:space="preserve"> Baltimore</v>
      </c>
    </row>
    <row r="266" spans="1:8" x14ac:dyDescent="0.2">
      <c r="A266">
        <v>24510271400</v>
      </c>
      <c r="B266" t="s">
        <v>5</v>
      </c>
      <c r="C266" s="7">
        <v>0.43419999999999997</v>
      </c>
      <c r="D266">
        <f>VLOOKUP(A266,bmore_income!$A$2:$C$324,3,FALSE)</f>
        <v>43522</v>
      </c>
      <c r="H266" t="str">
        <f t="shared" si="4"/>
        <v xml:space="preserve"> Baltimore</v>
      </c>
    </row>
    <row r="267" spans="1:8" hidden="1" x14ac:dyDescent="0.2">
      <c r="A267">
        <v>24005490601</v>
      </c>
      <c r="B267" t="s">
        <v>3</v>
      </c>
      <c r="C267">
        <v>0.41110000000000002</v>
      </c>
      <c r="H267" t="e">
        <f t="shared" si="4"/>
        <v>#VALUE!</v>
      </c>
    </row>
    <row r="268" spans="1:8" hidden="1" x14ac:dyDescent="0.2">
      <c r="A268">
        <v>24510120202</v>
      </c>
      <c r="B268" t="s">
        <v>3</v>
      </c>
      <c r="C268">
        <v>0.39219999999999999</v>
      </c>
      <c r="H268" t="e">
        <f t="shared" si="4"/>
        <v>#VALUE!</v>
      </c>
    </row>
    <row r="269" spans="1:8" x14ac:dyDescent="0.2">
      <c r="A269">
        <v>24510271501</v>
      </c>
      <c r="B269" t="s">
        <v>6</v>
      </c>
      <c r="C269" s="7">
        <v>0.41120000000000001</v>
      </c>
      <c r="D269">
        <f>VLOOKUP(A269,bmore_income!$A$2:$C$324,3,FALSE)</f>
        <v>46558</v>
      </c>
      <c r="H269" t="str">
        <f t="shared" si="4"/>
        <v xml:space="preserve"> Baltimore</v>
      </c>
    </row>
    <row r="270" spans="1:8" hidden="1" x14ac:dyDescent="0.2">
      <c r="A270">
        <v>24005980000</v>
      </c>
      <c r="B270" t="s">
        <v>149</v>
      </c>
      <c r="H270" t="e">
        <f t="shared" si="4"/>
        <v>#VALUE!</v>
      </c>
    </row>
    <row r="271" spans="1:8" hidden="1" x14ac:dyDescent="0.2">
      <c r="A271">
        <v>24005492500</v>
      </c>
      <c r="B271" t="s">
        <v>3</v>
      </c>
      <c r="H271" t="e">
        <f>MID($B271, FIND(",",$B271)+1, FIND(",",$B271,FIND(",",$B271)+1) -1 -FIND(",",$B271))</f>
        <v>#VALUE!</v>
      </c>
    </row>
    <row r="272" spans="1:8" hidden="1" x14ac:dyDescent="0.2">
      <c r="A272">
        <v>24005980200</v>
      </c>
      <c r="B272" t="s">
        <v>33</v>
      </c>
      <c r="H272" t="str">
        <f>MID($B272, FIND(",",$B272)+1, FIND(",",$B272,FIND(",",$B272)+1) -1 -FIND(",",$B272))</f>
        <v xml:space="preserve"> Halethorpe</v>
      </c>
    </row>
  </sheetData>
  <autoFilter ref="H2:H272" xr:uid="{00000000-0009-0000-0000-000002000000}">
    <filterColumn colId="0">
      <filters>
        <filter val="Baltimore"/>
      </filters>
    </filterColumn>
  </autoFilter>
  <sortState xmlns:xlrd2="http://schemas.microsoft.com/office/spreadsheetml/2017/richdata2" ref="A2:D269">
    <sortCondition ref="D2"/>
  </sortState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filterMode="1"/>
  <dimension ref="A1:G321"/>
  <sheetViews>
    <sheetView workbookViewId="0">
      <selection activeCell="A2" sqref="A2:G321"/>
    </sheetView>
  </sheetViews>
  <sheetFormatPr baseColWidth="10" defaultRowHeight="16" x14ac:dyDescent="0.2"/>
  <cols>
    <col min="2" max="2" width="36.1640625" customWidth="1"/>
  </cols>
  <sheetData>
    <row r="1" spans="1:7" x14ac:dyDescent="0.2">
      <c r="A1" s="1" t="s">
        <v>0</v>
      </c>
      <c r="B1" s="1" t="s">
        <v>1</v>
      </c>
      <c r="C1" s="1" t="s">
        <v>368</v>
      </c>
    </row>
    <row r="2" spans="1:7" x14ac:dyDescent="0.2">
      <c r="A2" s="1">
        <v>24510271501</v>
      </c>
      <c r="B2" s="2" t="s">
        <v>6</v>
      </c>
      <c r="C2" s="2">
        <v>46558</v>
      </c>
      <c r="G2" t="str">
        <f>MID($B2, FIND(",",$B2)+1, FIND(",",$B2,FIND(",",$B2)+1) -1 -FIND(",",$B2))</f>
        <v xml:space="preserve"> Baltimore</v>
      </c>
    </row>
    <row r="3" spans="1:7" hidden="1" x14ac:dyDescent="0.2">
      <c r="A3" s="1">
        <v>24005490500</v>
      </c>
      <c r="B3" s="2" t="s">
        <v>2</v>
      </c>
      <c r="C3" s="2">
        <v>46133</v>
      </c>
      <c r="G3" t="e">
        <f t="shared" ref="G3:G66" si="0">MID($B3, FIND(",",$B3)+1, FIND(",",$B3,FIND(",",$B3)+1) -1 -FIND(",",$B3))</f>
        <v>#VALUE!</v>
      </c>
    </row>
    <row r="4" spans="1:7" hidden="1" x14ac:dyDescent="0.2">
      <c r="A4" s="1">
        <v>24005403701</v>
      </c>
      <c r="B4" s="2" t="s">
        <v>376</v>
      </c>
      <c r="C4" s="2">
        <v>44106</v>
      </c>
      <c r="G4" t="e">
        <f t="shared" si="0"/>
        <v>#VALUE!</v>
      </c>
    </row>
    <row r="5" spans="1:7" hidden="1" x14ac:dyDescent="0.2">
      <c r="A5" s="1">
        <v>24005491000</v>
      </c>
      <c r="B5" s="2" t="s">
        <v>3</v>
      </c>
      <c r="C5" s="2">
        <v>43934</v>
      </c>
      <c r="G5" t="e">
        <f t="shared" si="0"/>
        <v>#VALUE!</v>
      </c>
    </row>
    <row r="6" spans="1:7" hidden="1" x14ac:dyDescent="0.2">
      <c r="A6" s="1">
        <v>24005403500</v>
      </c>
      <c r="B6" s="2" t="s">
        <v>4</v>
      </c>
      <c r="C6" s="2">
        <v>43776</v>
      </c>
      <c r="G6" t="e">
        <f t="shared" si="0"/>
        <v>#VALUE!</v>
      </c>
    </row>
    <row r="7" spans="1:7" hidden="1" x14ac:dyDescent="0.2">
      <c r="A7" s="1">
        <v>24005403601</v>
      </c>
      <c r="B7" s="2" t="s">
        <v>3</v>
      </c>
      <c r="C7" s="2">
        <v>43547</v>
      </c>
      <c r="G7" t="e">
        <f t="shared" si="0"/>
        <v>#VALUE!</v>
      </c>
    </row>
    <row r="8" spans="1:7" x14ac:dyDescent="0.2">
      <c r="A8" s="1">
        <v>24510271400</v>
      </c>
      <c r="B8" s="2" t="s">
        <v>5</v>
      </c>
      <c r="C8" s="2">
        <v>43522</v>
      </c>
      <c r="G8" t="str">
        <f t="shared" si="0"/>
        <v xml:space="preserve"> Baltimore</v>
      </c>
    </row>
    <row r="9" spans="1:7" x14ac:dyDescent="0.2">
      <c r="A9" s="1">
        <v>24510120100</v>
      </c>
      <c r="B9" s="2" t="s">
        <v>11</v>
      </c>
      <c r="C9" s="2">
        <v>43386</v>
      </c>
      <c r="G9" t="str">
        <f t="shared" si="0"/>
        <v xml:space="preserve"> Baltimore</v>
      </c>
    </row>
    <row r="10" spans="1:7" x14ac:dyDescent="0.2">
      <c r="A10" s="1">
        <v>24510271300</v>
      </c>
      <c r="B10" s="2" t="s">
        <v>7</v>
      </c>
      <c r="C10" s="2">
        <v>42781</v>
      </c>
      <c r="G10" t="str">
        <f t="shared" si="0"/>
        <v xml:space="preserve"> Baltimore</v>
      </c>
    </row>
    <row r="11" spans="1:7" hidden="1" x14ac:dyDescent="0.2">
      <c r="A11" s="1">
        <v>24027601104</v>
      </c>
      <c r="B11" s="2" t="s">
        <v>375</v>
      </c>
      <c r="C11" s="2">
        <v>42510</v>
      </c>
      <c r="G11" t="e">
        <f t="shared" si="0"/>
        <v>#VALUE!</v>
      </c>
    </row>
    <row r="12" spans="1:7" x14ac:dyDescent="0.2">
      <c r="A12" s="1">
        <v>24510271200</v>
      </c>
      <c r="B12" s="2" t="s">
        <v>8</v>
      </c>
      <c r="C12" s="2">
        <v>42081</v>
      </c>
      <c r="G12" t="str">
        <f t="shared" si="0"/>
        <v xml:space="preserve"> Baltimore</v>
      </c>
    </row>
    <row r="13" spans="1:7" hidden="1" x14ac:dyDescent="0.2">
      <c r="A13" s="1">
        <v>24005400400</v>
      </c>
      <c r="B13" s="2" t="s">
        <v>9</v>
      </c>
      <c r="C13" s="2">
        <v>41230</v>
      </c>
      <c r="G13" t="e">
        <f t="shared" si="0"/>
        <v>#VALUE!</v>
      </c>
    </row>
    <row r="14" spans="1:7" hidden="1" x14ac:dyDescent="0.2">
      <c r="A14" s="1">
        <v>24005490603</v>
      </c>
      <c r="B14" s="2" t="s">
        <v>3</v>
      </c>
      <c r="C14" s="2">
        <v>40963</v>
      </c>
      <c r="G14" t="e">
        <f t="shared" si="0"/>
        <v>#VALUE!</v>
      </c>
    </row>
    <row r="15" spans="1:7" hidden="1" x14ac:dyDescent="0.2">
      <c r="A15" s="1">
        <v>24005490800</v>
      </c>
      <c r="B15" s="2" t="s">
        <v>2</v>
      </c>
      <c r="C15" s="2">
        <v>40940</v>
      </c>
      <c r="G15" t="e">
        <f t="shared" si="0"/>
        <v>#VALUE!</v>
      </c>
    </row>
    <row r="16" spans="1:7" hidden="1" x14ac:dyDescent="0.2">
      <c r="A16" s="1">
        <v>24005490601</v>
      </c>
      <c r="B16" s="2" t="s">
        <v>3</v>
      </c>
      <c r="C16" s="2">
        <v>40410</v>
      </c>
      <c r="G16" t="e">
        <f t="shared" si="0"/>
        <v>#VALUE!</v>
      </c>
    </row>
    <row r="17" spans="1:7" hidden="1" x14ac:dyDescent="0.2">
      <c r="A17" s="1">
        <v>24005411308</v>
      </c>
      <c r="B17" s="2" t="s">
        <v>13</v>
      </c>
      <c r="C17" s="2">
        <v>40386</v>
      </c>
      <c r="G17" t="e">
        <f t="shared" si="0"/>
        <v>#VALUE!</v>
      </c>
    </row>
    <row r="18" spans="1:7" hidden="1" x14ac:dyDescent="0.2">
      <c r="A18" s="1">
        <v>24005490602</v>
      </c>
      <c r="B18" s="2" t="s">
        <v>3</v>
      </c>
      <c r="C18" s="2">
        <v>39889</v>
      </c>
      <c r="G18" t="e">
        <f t="shared" si="0"/>
        <v>#VALUE!</v>
      </c>
    </row>
    <row r="19" spans="1:7" hidden="1" x14ac:dyDescent="0.2">
      <c r="A19" s="1">
        <v>24005403602</v>
      </c>
      <c r="B19" s="2" t="s">
        <v>3</v>
      </c>
      <c r="C19" s="2">
        <v>39635</v>
      </c>
      <c r="G19" t="e">
        <f t="shared" si="0"/>
        <v>#VALUE!</v>
      </c>
    </row>
    <row r="20" spans="1:7" hidden="1" x14ac:dyDescent="0.2">
      <c r="A20" s="1">
        <v>24005403401</v>
      </c>
      <c r="B20" s="2" t="s">
        <v>4</v>
      </c>
      <c r="C20" s="2">
        <v>39346</v>
      </c>
      <c r="G20" t="e">
        <f t="shared" si="0"/>
        <v>#VALUE!</v>
      </c>
    </row>
    <row r="21" spans="1:7" x14ac:dyDescent="0.2">
      <c r="A21" s="1">
        <v>24510020300</v>
      </c>
      <c r="B21" s="2" t="s">
        <v>15</v>
      </c>
      <c r="C21" s="2">
        <v>39150</v>
      </c>
      <c r="G21" t="str">
        <f t="shared" si="0"/>
        <v xml:space="preserve"> Baltimore</v>
      </c>
    </row>
    <row r="22" spans="1:7" hidden="1" x14ac:dyDescent="0.2">
      <c r="A22" s="1">
        <v>24005430600</v>
      </c>
      <c r="B22" s="2" t="s">
        <v>12</v>
      </c>
      <c r="C22" s="2">
        <v>38297</v>
      </c>
      <c r="G22" t="str">
        <f t="shared" si="0"/>
        <v xml:space="preserve"> Halethorpe</v>
      </c>
    </row>
    <row r="23" spans="1:7" hidden="1" x14ac:dyDescent="0.2">
      <c r="A23" s="1">
        <v>24003750400</v>
      </c>
      <c r="B23" s="2" t="s">
        <v>18</v>
      </c>
      <c r="C23" s="2">
        <v>38044</v>
      </c>
      <c r="G23" t="e">
        <f t="shared" si="0"/>
        <v>#VALUE!</v>
      </c>
    </row>
    <row r="24" spans="1:7" hidden="1" x14ac:dyDescent="0.2">
      <c r="A24" s="1">
        <v>24005411303</v>
      </c>
      <c r="B24" s="2" t="s">
        <v>13</v>
      </c>
      <c r="C24" s="2">
        <v>37965</v>
      </c>
      <c r="G24" t="e">
        <f t="shared" si="0"/>
        <v>#VALUE!</v>
      </c>
    </row>
    <row r="25" spans="1:7" hidden="1" x14ac:dyDescent="0.2">
      <c r="A25" s="1">
        <v>24005491300</v>
      </c>
      <c r="B25" s="2" t="s">
        <v>3</v>
      </c>
      <c r="C25" s="2">
        <v>37912</v>
      </c>
      <c r="G25" t="e">
        <f t="shared" si="0"/>
        <v>#VALUE!</v>
      </c>
    </row>
    <row r="26" spans="1:7" x14ac:dyDescent="0.2">
      <c r="A26" s="1">
        <v>24510271102</v>
      </c>
      <c r="B26" s="2" t="s">
        <v>10</v>
      </c>
      <c r="C26" s="2">
        <v>37888</v>
      </c>
      <c r="G26" t="str">
        <f t="shared" si="0"/>
        <v xml:space="preserve"> Baltimore</v>
      </c>
    </row>
    <row r="27" spans="1:7" hidden="1" x14ac:dyDescent="0.2">
      <c r="A27" s="1">
        <v>24005401000</v>
      </c>
      <c r="B27" s="2" t="s">
        <v>9</v>
      </c>
      <c r="C27" s="2">
        <v>37804</v>
      </c>
      <c r="G27" t="e">
        <f t="shared" si="0"/>
        <v>#VALUE!</v>
      </c>
    </row>
    <row r="28" spans="1:7" hidden="1" x14ac:dyDescent="0.2">
      <c r="A28" s="1">
        <v>24005411307</v>
      </c>
      <c r="B28" s="2" t="s">
        <v>13</v>
      </c>
      <c r="C28" s="2">
        <v>37748</v>
      </c>
      <c r="G28" t="e">
        <f t="shared" si="0"/>
        <v>#VALUE!</v>
      </c>
    </row>
    <row r="29" spans="1:7" hidden="1" x14ac:dyDescent="0.2">
      <c r="A29" s="1">
        <v>24510120202</v>
      </c>
      <c r="B29" s="2" t="s">
        <v>3</v>
      </c>
      <c r="C29" s="2">
        <v>37232</v>
      </c>
      <c r="G29" t="e">
        <f t="shared" si="0"/>
        <v>#VALUE!</v>
      </c>
    </row>
    <row r="30" spans="1:7" x14ac:dyDescent="0.2">
      <c r="A30" s="1">
        <v>24510240200</v>
      </c>
      <c r="B30" s="2" t="s">
        <v>19</v>
      </c>
      <c r="C30" s="2">
        <v>37172</v>
      </c>
      <c r="G30" t="str">
        <f t="shared" si="0"/>
        <v xml:space="preserve"> Baltimore</v>
      </c>
    </row>
    <row r="31" spans="1:7" hidden="1" x14ac:dyDescent="0.2">
      <c r="A31" s="1">
        <v>24005491100</v>
      </c>
      <c r="B31" s="2" t="s">
        <v>3</v>
      </c>
      <c r="C31" s="2">
        <v>36799</v>
      </c>
      <c r="G31" t="e">
        <f t="shared" si="0"/>
        <v>#VALUE!</v>
      </c>
    </row>
    <row r="32" spans="1:7" hidden="1" x14ac:dyDescent="0.2">
      <c r="A32" s="1">
        <v>24510220100</v>
      </c>
      <c r="B32" s="2" t="s">
        <v>3</v>
      </c>
      <c r="C32" s="2">
        <v>36380</v>
      </c>
      <c r="G32" t="e">
        <f t="shared" si="0"/>
        <v>#VALUE!</v>
      </c>
    </row>
    <row r="33" spans="1:7" hidden="1" x14ac:dyDescent="0.2">
      <c r="A33" s="1">
        <v>24005492002</v>
      </c>
      <c r="B33" s="2" t="s">
        <v>17</v>
      </c>
      <c r="C33" s="2">
        <v>36214</v>
      </c>
      <c r="G33" t="e">
        <f t="shared" si="0"/>
        <v>#VALUE!</v>
      </c>
    </row>
    <row r="34" spans="1:7" hidden="1" x14ac:dyDescent="0.2">
      <c r="A34" s="1">
        <v>24005411306</v>
      </c>
      <c r="B34" s="2" t="s">
        <v>13</v>
      </c>
      <c r="C34" s="2">
        <v>36000</v>
      </c>
      <c r="G34" t="e">
        <f t="shared" si="0"/>
        <v>#VALUE!</v>
      </c>
    </row>
    <row r="35" spans="1:7" hidden="1" x14ac:dyDescent="0.2">
      <c r="A35" s="1">
        <v>24005440500</v>
      </c>
      <c r="B35" s="2" t="s">
        <v>13</v>
      </c>
      <c r="C35" s="2">
        <v>35798</v>
      </c>
      <c r="G35" t="e">
        <f t="shared" si="0"/>
        <v>#VALUE!</v>
      </c>
    </row>
    <row r="36" spans="1:7" x14ac:dyDescent="0.2">
      <c r="A36" s="1">
        <v>24510130805</v>
      </c>
      <c r="B36" s="2" t="s">
        <v>40</v>
      </c>
      <c r="C36" s="2">
        <v>35573</v>
      </c>
      <c r="G36" t="str">
        <f t="shared" si="0"/>
        <v xml:space="preserve"> Baltimore</v>
      </c>
    </row>
    <row r="37" spans="1:7" hidden="1" x14ac:dyDescent="0.2">
      <c r="A37" s="1">
        <v>24027601201</v>
      </c>
      <c r="B37" s="2" t="s">
        <v>374</v>
      </c>
      <c r="C37" s="2">
        <v>35434</v>
      </c>
      <c r="G37" t="e">
        <f t="shared" si="0"/>
        <v>#VALUE!</v>
      </c>
    </row>
    <row r="38" spans="1:7" x14ac:dyDescent="0.2">
      <c r="A38" s="1">
        <v>24510271503</v>
      </c>
      <c r="B38" s="2" t="s">
        <v>25</v>
      </c>
      <c r="C38" s="2">
        <v>35185</v>
      </c>
      <c r="G38" t="str">
        <f t="shared" si="0"/>
        <v xml:space="preserve"> Baltimore</v>
      </c>
    </row>
    <row r="39" spans="1:7" hidden="1" x14ac:dyDescent="0.2">
      <c r="A39" s="1">
        <v>24005492101</v>
      </c>
      <c r="B39" s="2" t="s">
        <v>17</v>
      </c>
      <c r="C39" s="2">
        <v>34980</v>
      </c>
      <c r="G39" t="e">
        <f t="shared" si="0"/>
        <v>#VALUE!</v>
      </c>
    </row>
    <row r="40" spans="1:7" x14ac:dyDescent="0.2">
      <c r="A40" s="1">
        <v>24510270703</v>
      </c>
      <c r="B40" s="2" t="s">
        <v>20</v>
      </c>
      <c r="C40" s="2">
        <v>34890</v>
      </c>
      <c r="G40" t="str">
        <f t="shared" si="0"/>
        <v xml:space="preserve"> Baltimore</v>
      </c>
    </row>
    <row r="41" spans="1:7" hidden="1" x14ac:dyDescent="0.2">
      <c r="A41" s="1">
        <v>24005440600</v>
      </c>
      <c r="B41" s="2" t="s">
        <v>16</v>
      </c>
      <c r="C41" s="2">
        <v>34850</v>
      </c>
      <c r="G41" t="e">
        <f t="shared" si="0"/>
        <v>#VALUE!</v>
      </c>
    </row>
    <row r="42" spans="1:7" hidden="1" x14ac:dyDescent="0.2">
      <c r="A42" s="1">
        <v>24005440100</v>
      </c>
      <c r="B42" s="2" t="s">
        <v>3</v>
      </c>
      <c r="C42" s="2">
        <v>34814</v>
      </c>
      <c r="G42" t="e">
        <f t="shared" si="0"/>
        <v>#VALUE!</v>
      </c>
    </row>
    <row r="43" spans="1:7" hidden="1" x14ac:dyDescent="0.2">
      <c r="A43" s="1">
        <v>24005441101</v>
      </c>
      <c r="B43" s="2" t="s">
        <v>16</v>
      </c>
      <c r="C43" s="2">
        <v>34686</v>
      </c>
      <c r="G43" t="e">
        <f t="shared" si="0"/>
        <v>#VALUE!</v>
      </c>
    </row>
    <row r="44" spans="1:7" hidden="1" x14ac:dyDescent="0.2">
      <c r="A44" s="1">
        <v>24005440200</v>
      </c>
      <c r="B44" s="2" t="s">
        <v>13</v>
      </c>
      <c r="C44" s="2">
        <v>34384</v>
      </c>
      <c r="G44" t="e">
        <f t="shared" si="0"/>
        <v>#VALUE!</v>
      </c>
    </row>
    <row r="45" spans="1:7" hidden="1" x14ac:dyDescent="0.2">
      <c r="A45" s="1">
        <v>24005451200</v>
      </c>
      <c r="B45" s="2" t="s">
        <v>370</v>
      </c>
      <c r="C45" s="2">
        <v>34306</v>
      </c>
      <c r="G45" t="e">
        <f t="shared" si="0"/>
        <v>#VALUE!</v>
      </c>
    </row>
    <row r="46" spans="1:7" hidden="1" x14ac:dyDescent="0.2">
      <c r="A46" s="1">
        <v>24005430400</v>
      </c>
      <c r="B46" s="2" t="s">
        <v>22</v>
      </c>
      <c r="C46" s="2">
        <v>34191</v>
      </c>
      <c r="G46" t="e">
        <f t="shared" si="0"/>
        <v>#VALUE!</v>
      </c>
    </row>
    <row r="47" spans="1:7" hidden="1" x14ac:dyDescent="0.2">
      <c r="A47" s="1">
        <v>24005440900</v>
      </c>
      <c r="B47" s="2" t="s">
        <v>16</v>
      </c>
      <c r="C47" s="2">
        <v>34159</v>
      </c>
      <c r="G47" t="e">
        <f t="shared" si="0"/>
        <v>#VALUE!</v>
      </c>
    </row>
    <row r="48" spans="1:7" hidden="1" x14ac:dyDescent="0.2">
      <c r="A48" s="1">
        <v>24005400200</v>
      </c>
      <c r="B48" s="2" t="s">
        <v>9</v>
      </c>
      <c r="C48" s="2">
        <v>34020</v>
      </c>
      <c r="G48" t="e">
        <f t="shared" si="0"/>
        <v>#VALUE!</v>
      </c>
    </row>
    <row r="49" spans="1:7" hidden="1" x14ac:dyDescent="0.2">
      <c r="A49" s="1">
        <v>24005400702</v>
      </c>
      <c r="B49" s="2" t="s">
        <v>3</v>
      </c>
      <c r="C49" s="2">
        <v>33897</v>
      </c>
      <c r="G49" t="e">
        <f t="shared" si="0"/>
        <v>#VALUE!</v>
      </c>
    </row>
    <row r="50" spans="1:7" hidden="1" x14ac:dyDescent="0.2">
      <c r="A50" s="1">
        <v>24005491900</v>
      </c>
      <c r="B50" s="2" t="s">
        <v>17</v>
      </c>
      <c r="C50" s="2">
        <v>33800</v>
      </c>
      <c r="G50" t="e">
        <f t="shared" si="0"/>
        <v>#VALUE!</v>
      </c>
    </row>
    <row r="51" spans="1:7" hidden="1" x14ac:dyDescent="0.2">
      <c r="A51" s="1">
        <v>24005400100</v>
      </c>
      <c r="B51" s="2" t="s">
        <v>9</v>
      </c>
      <c r="C51" s="2">
        <v>33761</v>
      </c>
      <c r="G51" t="e">
        <f t="shared" si="0"/>
        <v>#VALUE!</v>
      </c>
    </row>
    <row r="52" spans="1:7" hidden="1" x14ac:dyDescent="0.2">
      <c r="A52" s="1">
        <v>24005440800</v>
      </c>
      <c r="B52" s="2" t="s">
        <v>16</v>
      </c>
      <c r="C52" s="2">
        <v>33678</v>
      </c>
      <c r="G52" t="e">
        <f t="shared" si="0"/>
        <v>#VALUE!</v>
      </c>
    </row>
    <row r="53" spans="1:7" hidden="1" x14ac:dyDescent="0.2">
      <c r="A53" s="1">
        <v>24005491500</v>
      </c>
      <c r="B53" s="2" t="s">
        <v>17</v>
      </c>
      <c r="C53" s="2">
        <v>33591</v>
      </c>
      <c r="G53" t="e">
        <f t="shared" si="0"/>
        <v>#VALUE!</v>
      </c>
    </row>
    <row r="54" spans="1:7" hidden="1" x14ac:dyDescent="0.2">
      <c r="A54" s="1">
        <v>24005452100</v>
      </c>
      <c r="B54" s="2" t="s">
        <v>371</v>
      </c>
      <c r="C54" s="2">
        <v>32937</v>
      </c>
      <c r="G54" t="e">
        <f t="shared" si="0"/>
        <v>#VALUE!</v>
      </c>
    </row>
    <row r="55" spans="1:7" hidden="1" x14ac:dyDescent="0.2">
      <c r="A55" s="1">
        <v>24005441102</v>
      </c>
      <c r="B55" s="2" t="s">
        <v>16</v>
      </c>
      <c r="C55" s="2">
        <v>32927</v>
      </c>
      <c r="G55" t="e">
        <f t="shared" si="0"/>
        <v>#VALUE!</v>
      </c>
    </row>
    <row r="56" spans="1:7" hidden="1" x14ac:dyDescent="0.2">
      <c r="A56" s="1">
        <v>24005491202</v>
      </c>
      <c r="B56" s="2" t="s">
        <v>2</v>
      </c>
      <c r="C56" s="2">
        <v>32903</v>
      </c>
      <c r="G56" t="e">
        <f t="shared" si="0"/>
        <v>#VALUE!</v>
      </c>
    </row>
    <row r="57" spans="1:7" hidden="1" x14ac:dyDescent="0.2">
      <c r="A57" s="1">
        <v>24005492001</v>
      </c>
      <c r="B57" s="2" t="s">
        <v>17</v>
      </c>
      <c r="C57" s="2">
        <v>32888</v>
      </c>
      <c r="G57" t="e">
        <f t="shared" si="0"/>
        <v>#VALUE!</v>
      </c>
    </row>
    <row r="58" spans="1:7" hidden="1" x14ac:dyDescent="0.2">
      <c r="A58" s="1">
        <v>24005403300</v>
      </c>
      <c r="B58" s="2" t="s">
        <v>372</v>
      </c>
      <c r="C58" s="2">
        <v>32866</v>
      </c>
      <c r="G58" t="str">
        <f t="shared" si="0"/>
        <v xml:space="preserve"> Pikesville</v>
      </c>
    </row>
    <row r="59" spans="1:7" hidden="1" x14ac:dyDescent="0.2">
      <c r="A59" s="1">
        <v>24005411408</v>
      </c>
      <c r="B59" s="2" t="s">
        <v>13</v>
      </c>
      <c r="C59" s="2">
        <v>32850</v>
      </c>
      <c r="G59" t="e">
        <f t="shared" si="0"/>
        <v>#VALUE!</v>
      </c>
    </row>
    <row r="60" spans="1:7" hidden="1" x14ac:dyDescent="0.2">
      <c r="A60" s="1">
        <v>24005440400</v>
      </c>
      <c r="B60" s="2" t="s">
        <v>3</v>
      </c>
      <c r="C60" s="2">
        <v>32836</v>
      </c>
      <c r="G60" t="e">
        <f t="shared" si="0"/>
        <v>#VALUE!</v>
      </c>
    </row>
    <row r="61" spans="1:7" hidden="1" x14ac:dyDescent="0.2">
      <c r="A61" s="1">
        <v>24003750300</v>
      </c>
      <c r="B61" s="2" t="s">
        <v>18</v>
      </c>
      <c r="C61" s="2">
        <v>32826</v>
      </c>
      <c r="G61" t="e">
        <f t="shared" si="0"/>
        <v>#VALUE!</v>
      </c>
    </row>
    <row r="62" spans="1:7" x14ac:dyDescent="0.2">
      <c r="A62" s="1">
        <v>24510270302</v>
      </c>
      <c r="B62" s="2" t="s">
        <v>32</v>
      </c>
      <c r="C62" s="2">
        <v>32647</v>
      </c>
      <c r="G62" t="str">
        <f t="shared" si="0"/>
        <v xml:space="preserve"> Baltimore</v>
      </c>
    </row>
    <row r="63" spans="1:7" hidden="1" x14ac:dyDescent="0.2">
      <c r="A63" s="1">
        <v>24005420702</v>
      </c>
      <c r="B63" s="2" t="s">
        <v>21</v>
      </c>
      <c r="C63" s="2">
        <v>32609</v>
      </c>
      <c r="G63" t="e">
        <f t="shared" si="0"/>
        <v>#VALUE!</v>
      </c>
    </row>
    <row r="64" spans="1:7" hidden="1" x14ac:dyDescent="0.2">
      <c r="A64" s="1">
        <v>24005492102</v>
      </c>
      <c r="B64" s="2" t="s">
        <v>17</v>
      </c>
      <c r="C64" s="2">
        <v>32408</v>
      </c>
      <c r="G64" t="e">
        <f t="shared" si="0"/>
        <v>#VALUE!</v>
      </c>
    </row>
    <row r="65" spans="1:7" x14ac:dyDescent="0.2">
      <c r="A65" s="1">
        <v>24510270402</v>
      </c>
      <c r="B65" s="2" t="s">
        <v>28</v>
      </c>
      <c r="C65" s="2">
        <v>32371</v>
      </c>
      <c r="G65" t="str">
        <f t="shared" si="0"/>
        <v xml:space="preserve"> Baltimore</v>
      </c>
    </row>
    <row r="66" spans="1:7" hidden="1" x14ac:dyDescent="0.2">
      <c r="A66" s="1">
        <v>24005400800</v>
      </c>
      <c r="B66" s="2" t="s">
        <v>9</v>
      </c>
      <c r="C66" s="2">
        <v>32364</v>
      </c>
      <c r="G66" t="e">
        <f t="shared" si="0"/>
        <v>#VALUE!</v>
      </c>
    </row>
    <row r="67" spans="1:7" hidden="1" x14ac:dyDescent="0.2">
      <c r="A67" s="1">
        <v>24005411407</v>
      </c>
      <c r="B67" s="2" t="s">
        <v>17</v>
      </c>
      <c r="C67" s="2">
        <v>32290</v>
      </c>
      <c r="G67" t="e">
        <f t="shared" ref="G67:G130" si="1">MID($B67, FIND(",",$B67)+1, FIND(",",$B67,FIND(",",$B67)+1) -1 -FIND(",",$B67))</f>
        <v>#VALUE!</v>
      </c>
    </row>
    <row r="68" spans="1:7" hidden="1" x14ac:dyDescent="0.2">
      <c r="A68" s="1">
        <v>24005430700</v>
      </c>
      <c r="B68" s="2" t="s">
        <v>22</v>
      </c>
      <c r="C68" s="2">
        <v>32287</v>
      </c>
      <c r="G68" t="e">
        <f t="shared" si="1"/>
        <v>#VALUE!</v>
      </c>
    </row>
    <row r="69" spans="1:7" x14ac:dyDescent="0.2">
      <c r="A69" s="1">
        <v>24510272004</v>
      </c>
      <c r="B69" s="2" t="s">
        <v>23</v>
      </c>
      <c r="C69" s="2">
        <v>32277</v>
      </c>
      <c r="G69" t="str">
        <f t="shared" si="1"/>
        <v xml:space="preserve"> Baltimore</v>
      </c>
    </row>
    <row r="70" spans="1:7" hidden="1" x14ac:dyDescent="0.2">
      <c r="A70" s="1">
        <v>24003751200</v>
      </c>
      <c r="B70" s="2" t="s">
        <v>18</v>
      </c>
      <c r="C70" s="2">
        <v>32175</v>
      </c>
      <c r="G70" t="e">
        <f t="shared" si="1"/>
        <v>#VALUE!</v>
      </c>
    </row>
    <row r="71" spans="1:7" hidden="1" x14ac:dyDescent="0.2">
      <c r="A71" s="1">
        <v>24005420200</v>
      </c>
      <c r="B71" s="2" t="s">
        <v>21</v>
      </c>
      <c r="C71" s="2">
        <v>32036</v>
      </c>
      <c r="G71" t="e">
        <f t="shared" si="1"/>
        <v>#VALUE!</v>
      </c>
    </row>
    <row r="72" spans="1:7" x14ac:dyDescent="0.2">
      <c r="A72" s="1">
        <v>24005402403</v>
      </c>
      <c r="B72" s="2" t="s">
        <v>51</v>
      </c>
      <c r="C72" s="2">
        <v>31968</v>
      </c>
      <c r="G72" t="str">
        <f t="shared" si="1"/>
        <v xml:space="preserve"> Baltimore</v>
      </c>
    </row>
    <row r="73" spans="1:7" hidden="1" x14ac:dyDescent="0.2">
      <c r="A73" s="1">
        <v>24005490900</v>
      </c>
      <c r="B73" s="2" t="s">
        <v>2</v>
      </c>
      <c r="C73" s="2">
        <v>31966</v>
      </c>
      <c r="G73" t="e">
        <f t="shared" si="1"/>
        <v>#VALUE!</v>
      </c>
    </row>
    <row r="74" spans="1:7" hidden="1" x14ac:dyDescent="0.2">
      <c r="A74" s="1">
        <v>24005403402</v>
      </c>
      <c r="B74" s="2" t="s">
        <v>4</v>
      </c>
      <c r="C74" s="2">
        <v>31653</v>
      </c>
      <c r="G74" t="e">
        <f t="shared" si="1"/>
        <v>#VALUE!</v>
      </c>
    </row>
    <row r="75" spans="1:7" hidden="1" x14ac:dyDescent="0.2">
      <c r="A75" s="1">
        <v>24005491600</v>
      </c>
      <c r="B75" s="2" t="s">
        <v>17</v>
      </c>
      <c r="C75" s="2">
        <v>31600</v>
      </c>
      <c r="G75" t="e">
        <f t="shared" si="1"/>
        <v>#VALUE!</v>
      </c>
    </row>
    <row r="76" spans="1:7" hidden="1" x14ac:dyDescent="0.2">
      <c r="A76" s="1">
        <v>24005400701</v>
      </c>
      <c r="B76" s="2" t="s">
        <v>9</v>
      </c>
      <c r="C76" s="2">
        <v>31587</v>
      </c>
      <c r="G76" t="e">
        <f t="shared" si="1"/>
        <v>#VALUE!</v>
      </c>
    </row>
    <row r="77" spans="1:7" hidden="1" x14ac:dyDescent="0.2">
      <c r="A77" s="1">
        <v>24005403100</v>
      </c>
      <c r="B77" s="2" t="s">
        <v>373</v>
      </c>
      <c r="C77" s="2">
        <v>31558</v>
      </c>
      <c r="G77" t="str">
        <f t="shared" si="1"/>
        <v xml:space="preserve"> Pikesville</v>
      </c>
    </row>
    <row r="78" spans="1:7" x14ac:dyDescent="0.2">
      <c r="A78" s="1">
        <v>24510270502</v>
      </c>
      <c r="B78" s="2" t="s">
        <v>20</v>
      </c>
      <c r="C78" s="2">
        <v>31310</v>
      </c>
      <c r="G78" t="str">
        <f t="shared" si="1"/>
        <v xml:space="preserve"> Baltimore</v>
      </c>
    </row>
    <row r="79" spans="1:7" x14ac:dyDescent="0.2">
      <c r="A79" s="1">
        <v>24510270200</v>
      </c>
      <c r="B79" s="2" t="s">
        <v>41</v>
      </c>
      <c r="C79" s="2">
        <v>31128</v>
      </c>
      <c r="G79" t="str">
        <f t="shared" si="1"/>
        <v xml:space="preserve"> Baltimore</v>
      </c>
    </row>
    <row r="80" spans="1:7" hidden="1" x14ac:dyDescent="0.2">
      <c r="A80" s="1">
        <v>24005430800</v>
      </c>
      <c r="B80" s="2" t="s">
        <v>22</v>
      </c>
      <c r="C80" s="2">
        <v>31115</v>
      </c>
      <c r="G80" t="e">
        <f t="shared" si="1"/>
        <v>#VALUE!</v>
      </c>
    </row>
    <row r="81" spans="1:7" x14ac:dyDescent="0.2">
      <c r="A81" s="1">
        <v>24510270501</v>
      </c>
      <c r="B81" s="2" t="s">
        <v>24</v>
      </c>
      <c r="C81" s="2">
        <v>31089</v>
      </c>
      <c r="G81" t="str">
        <f t="shared" si="1"/>
        <v xml:space="preserve"> Baltimore</v>
      </c>
    </row>
    <row r="82" spans="1:7" hidden="1" x14ac:dyDescent="0.2">
      <c r="A82" s="1">
        <v>24005403702</v>
      </c>
      <c r="B82" s="2" t="s">
        <v>4</v>
      </c>
      <c r="C82" s="2">
        <v>30887</v>
      </c>
      <c r="G82" t="e">
        <f t="shared" si="1"/>
        <v>#VALUE!</v>
      </c>
    </row>
    <row r="83" spans="1:7" hidden="1" x14ac:dyDescent="0.2">
      <c r="A83" s="1">
        <v>24005400600</v>
      </c>
      <c r="B83" s="2" t="s">
        <v>9</v>
      </c>
      <c r="C83" s="2">
        <v>30815</v>
      </c>
      <c r="G83" t="e">
        <f t="shared" si="1"/>
        <v>#VALUE!</v>
      </c>
    </row>
    <row r="84" spans="1:7" hidden="1" x14ac:dyDescent="0.2">
      <c r="A84" s="1">
        <v>24005452400</v>
      </c>
      <c r="B84" s="2" t="s">
        <v>21</v>
      </c>
      <c r="C84" s="2">
        <v>30813</v>
      </c>
      <c r="G84" t="e">
        <f t="shared" si="1"/>
        <v>#VALUE!</v>
      </c>
    </row>
    <row r="85" spans="1:7" x14ac:dyDescent="0.2">
      <c r="A85" s="1">
        <v>24510270600</v>
      </c>
      <c r="B85" s="2" t="s">
        <v>36</v>
      </c>
      <c r="C85" s="2">
        <v>30776</v>
      </c>
      <c r="G85" t="str">
        <f t="shared" si="1"/>
        <v xml:space="preserve"> Baltimore</v>
      </c>
    </row>
    <row r="86" spans="1:7" hidden="1" x14ac:dyDescent="0.2">
      <c r="A86" s="1">
        <v>24005420900</v>
      </c>
      <c r="B86" s="2" t="s">
        <v>21</v>
      </c>
      <c r="C86" s="2">
        <v>30337</v>
      </c>
      <c r="G86" t="e">
        <f t="shared" si="1"/>
        <v>#VALUE!</v>
      </c>
    </row>
    <row r="87" spans="1:7" hidden="1" x14ac:dyDescent="0.2">
      <c r="A87" s="1">
        <v>24005450300</v>
      </c>
      <c r="B87" s="2" t="s">
        <v>369</v>
      </c>
      <c r="C87" s="2">
        <v>30206</v>
      </c>
      <c r="G87" t="e">
        <f t="shared" si="1"/>
        <v>#VALUE!</v>
      </c>
    </row>
    <row r="88" spans="1:7" hidden="1" x14ac:dyDescent="0.2">
      <c r="A88" s="1">
        <v>24005440300</v>
      </c>
      <c r="B88" s="2" t="s">
        <v>13</v>
      </c>
      <c r="C88" s="2">
        <v>30188</v>
      </c>
      <c r="G88" t="e">
        <f t="shared" si="1"/>
        <v>#VALUE!</v>
      </c>
    </row>
    <row r="89" spans="1:7" hidden="1" x14ac:dyDescent="0.2">
      <c r="A89" s="1">
        <v>24005450100</v>
      </c>
      <c r="B89" s="2" t="s">
        <v>16</v>
      </c>
      <c r="C89" s="2">
        <v>30180</v>
      </c>
      <c r="G89" t="e">
        <f t="shared" si="1"/>
        <v>#VALUE!</v>
      </c>
    </row>
    <row r="90" spans="1:7" x14ac:dyDescent="0.2">
      <c r="A90" s="1">
        <v>24510272005</v>
      </c>
      <c r="B90" s="2" t="s">
        <v>14</v>
      </c>
      <c r="C90" s="2">
        <v>30136</v>
      </c>
      <c r="G90" t="str">
        <f t="shared" si="1"/>
        <v xml:space="preserve"> Baltimore</v>
      </c>
    </row>
    <row r="91" spans="1:7" x14ac:dyDescent="0.2">
      <c r="A91" s="1">
        <v>24510280403</v>
      </c>
      <c r="B91" s="2" t="s">
        <v>43</v>
      </c>
      <c r="C91" s="2">
        <v>30115</v>
      </c>
      <c r="G91" t="str">
        <f t="shared" si="1"/>
        <v xml:space="preserve"> Baltimore</v>
      </c>
    </row>
    <row r="92" spans="1:7" x14ac:dyDescent="0.2">
      <c r="A92" s="1">
        <v>24510270804</v>
      </c>
      <c r="B92" s="2" t="s">
        <v>30</v>
      </c>
      <c r="C92" s="2">
        <v>30017</v>
      </c>
      <c r="G92" t="str">
        <f t="shared" si="1"/>
        <v xml:space="preserve"> Baltimore</v>
      </c>
    </row>
    <row r="93" spans="1:7" x14ac:dyDescent="0.2">
      <c r="A93" s="1">
        <v>24510270101</v>
      </c>
      <c r="B93" s="2" t="s">
        <v>34</v>
      </c>
      <c r="C93" s="2">
        <v>30012</v>
      </c>
      <c r="G93" t="str">
        <f t="shared" si="1"/>
        <v xml:space="preserve"> Baltimore</v>
      </c>
    </row>
    <row r="94" spans="1:7" x14ac:dyDescent="0.2">
      <c r="A94" s="1">
        <v>24510010400</v>
      </c>
      <c r="B94" s="2" t="s">
        <v>27</v>
      </c>
      <c r="C94" s="2">
        <v>29977</v>
      </c>
      <c r="G94" t="str">
        <f t="shared" si="1"/>
        <v xml:space="preserve"> Baltimore</v>
      </c>
    </row>
    <row r="95" spans="1:7" hidden="1" x14ac:dyDescent="0.2">
      <c r="A95" s="1">
        <v>24005420800</v>
      </c>
      <c r="B95" s="2" t="s">
        <v>21</v>
      </c>
      <c r="C95" s="2">
        <v>29817</v>
      </c>
      <c r="G95" t="e">
        <f t="shared" si="1"/>
        <v>#VALUE!</v>
      </c>
    </row>
    <row r="96" spans="1:7" hidden="1" x14ac:dyDescent="0.2">
      <c r="A96" s="1">
        <v>24005401301</v>
      </c>
      <c r="B96" s="2" t="s">
        <v>46</v>
      </c>
      <c r="C96" s="2">
        <v>29678</v>
      </c>
      <c r="G96" t="e">
        <f t="shared" si="1"/>
        <v>#VALUE!</v>
      </c>
    </row>
    <row r="97" spans="1:7" hidden="1" x14ac:dyDescent="0.2">
      <c r="A97" s="1">
        <v>24005420500</v>
      </c>
      <c r="B97" s="2" t="s">
        <v>3</v>
      </c>
      <c r="C97" s="2">
        <v>29589</v>
      </c>
      <c r="G97" t="e">
        <f t="shared" si="1"/>
        <v>#VALUE!</v>
      </c>
    </row>
    <row r="98" spans="1:7" hidden="1" x14ac:dyDescent="0.2">
      <c r="A98" s="1">
        <v>24005401101</v>
      </c>
      <c r="B98" s="2" t="s">
        <v>46</v>
      </c>
      <c r="C98" s="2">
        <v>29384</v>
      </c>
      <c r="G98" t="e">
        <f t="shared" si="1"/>
        <v>#VALUE!</v>
      </c>
    </row>
    <row r="99" spans="1:7" x14ac:dyDescent="0.2">
      <c r="A99" s="1">
        <v>24510270102</v>
      </c>
      <c r="B99" s="2" t="s">
        <v>32</v>
      </c>
      <c r="C99" s="2">
        <v>29343</v>
      </c>
      <c r="G99" t="str">
        <f t="shared" si="1"/>
        <v xml:space="preserve"> Baltimore</v>
      </c>
    </row>
    <row r="100" spans="1:7" hidden="1" x14ac:dyDescent="0.2">
      <c r="A100" s="1">
        <v>24005403201</v>
      </c>
      <c r="B100" s="2" t="s">
        <v>55</v>
      </c>
      <c r="C100" s="2">
        <v>29333</v>
      </c>
      <c r="G100" t="str">
        <f t="shared" si="1"/>
        <v xml:space="preserve"> Lochearn</v>
      </c>
    </row>
    <row r="101" spans="1:7" hidden="1" x14ac:dyDescent="0.2">
      <c r="A101" s="1">
        <v>24003750202</v>
      </c>
      <c r="B101" s="2" t="s">
        <v>26</v>
      </c>
      <c r="C101" s="2">
        <v>29299</v>
      </c>
      <c r="G101" t="e">
        <f t="shared" si="1"/>
        <v>#VALUE!</v>
      </c>
    </row>
    <row r="102" spans="1:7" x14ac:dyDescent="0.2">
      <c r="A102" s="1">
        <v>24003750201</v>
      </c>
      <c r="B102" s="2" t="s">
        <v>47</v>
      </c>
      <c r="C102" s="2">
        <v>29204</v>
      </c>
      <c r="G102" t="str">
        <f t="shared" si="1"/>
        <v xml:space="preserve"> Baltimore</v>
      </c>
    </row>
    <row r="103" spans="1:7" hidden="1" x14ac:dyDescent="0.2">
      <c r="A103" s="1">
        <v>24510280401</v>
      </c>
      <c r="B103" s="2" t="s">
        <v>3</v>
      </c>
      <c r="C103" s="2">
        <v>29085</v>
      </c>
      <c r="G103" t="e">
        <f t="shared" si="1"/>
        <v>#VALUE!</v>
      </c>
    </row>
    <row r="104" spans="1:7" hidden="1" x14ac:dyDescent="0.2">
      <c r="A104" s="1">
        <v>24005430104</v>
      </c>
      <c r="B104" s="2" t="s">
        <v>33</v>
      </c>
      <c r="C104" s="2">
        <v>29071</v>
      </c>
      <c r="G104" t="str">
        <f t="shared" si="1"/>
        <v xml:space="preserve"> Halethorpe</v>
      </c>
    </row>
    <row r="105" spans="1:7" x14ac:dyDescent="0.2">
      <c r="A105" s="1">
        <v>24510130803</v>
      </c>
      <c r="B105" s="2" t="s">
        <v>49</v>
      </c>
      <c r="C105" s="2">
        <v>29004</v>
      </c>
      <c r="G105" t="str">
        <f t="shared" si="1"/>
        <v xml:space="preserve"> Baltimore</v>
      </c>
    </row>
    <row r="106" spans="1:7" x14ac:dyDescent="0.2">
      <c r="A106" s="1">
        <v>24510271101</v>
      </c>
      <c r="B106" s="2" t="s">
        <v>35</v>
      </c>
      <c r="C106" s="2">
        <v>28958</v>
      </c>
      <c r="G106" t="str">
        <f t="shared" si="1"/>
        <v xml:space="preserve"> Baltimore</v>
      </c>
    </row>
    <row r="107" spans="1:7" x14ac:dyDescent="0.2">
      <c r="A107" s="1">
        <v>24510140100</v>
      </c>
      <c r="B107" s="2" t="s">
        <v>44</v>
      </c>
      <c r="C107" s="2">
        <v>28926</v>
      </c>
      <c r="G107" t="str">
        <f t="shared" si="1"/>
        <v xml:space="preserve"> Baltimore</v>
      </c>
    </row>
    <row r="108" spans="1:7" hidden="1" x14ac:dyDescent="0.2">
      <c r="A108" s="1">
        <v>24005450200</v>
      </c>
      <c r="B108" s="2" t="s">
        <v>369</v>
      </c>
      <c r="C108" s="2">
        <v>28863</v>
      </c>
      <c r="G108" t="e">
        <f t="shared" si="1"/>
        <v>#VALUE!</v>
      </c>
    </row>
    <row r="109" spans="1:7" hidden="1" x14ac:dyDescent="0.2">
      <c r="A109" s="1">
        <v>24005440702</v>
      </c>
      <c r="B109" s="2" t="s">
        <v>16</v>
      </c>
      <c r="C109" s="2">
        <v>28852</v>
      </c>
      <c r="G109" t="e">
        <f t="shared" si="1"/>
        <v>#VALUE!</v>
      </c>
    </row>
    <row r="110" spans="1:7" x14ac:dyDescent="0.2">
      <c r="A110" s="1">
        <v>24510090200</v>
      </c>
      <c r="B110" s="2" t="s">
        <v>63</v>
      </c>
      <c r="C110" s="2">
        <v>28832</v>
      </c>
      <c r="G110" t="str">
        <f t="shared" si="1"/>
        <v xml:space="preserve"> Baltimore</v>
      </c>
    </row>
    <row r="111" spans="1:7" hidden="1" x14ac:dyDescent="0.2">
      <c r="A111" s="1">
        <v>24005401102</v>
      </c>
      <c r="B111" s="2" t="s">
        <v>50</v>
      </c>
      <c r="C111" s="2">
        <v>28800</v>
      </c>
      <c r="G111" t="str">
        <f t="shared" si="1"/>
        <v xml:space="preserve"> Woodlawn</v>
      </c>
    </row>
    <row r="112" spans="1:7" hidden="1" x14ac:dyDescent="0.2">
      <c r="A112" s="1">
        <v>24005420701</v>
      </c>
      <c r="B112" s="2" t="s">
        <v>21</v>
      </c>
      <c r="C112" s="2">
        <v>28706</v>
      </c>
      <c r="G112" t="e">
        <f t="shared" si="1"/>
        <v>#VALUE!</v>
      </c>
    </row>
    <row r="113" spans="1:7" hidden="1" x14ac:dyDescent="0.2">
      <c r="A113" s="1">
        <v>24005451300</v>
      </c>
      <c r="B113" s="2" t="s">
        <v>370</v>
      </c>
      <c r="C113" s="2">
        <v>28691</v>
      </c>
      <c r="G113" t="e">
        <f t="shared" si="1"/>
        <v>#VALUE!</v>
      </c>
    </row>
    <row r="114" spans="1:7" x14ac:dyDescent="0.2">
      <c r="A114" s="1">
        <v>24510010100</v>
      </c>
      <c r="B114" s="2" t="s">
        <v>27</v>
      </c>
      <c r="C114" s="2">
        <v>28566</v>
      </c>
      <c r="G114" t="str">
        <f t="shared" si="1"/>
        <v xml:space="preserve"> Baltimore</v>
      </c>
    </row>
    <row r="115" spans="1:7" hidden="1" x14ac:dyDescent="0.2">
      <c r="A115" s="1">
        <v>24510272003</v>
      </c>
      <c r="B115" s="2" t="s">
        <v>3</v>
      </c>
      <c r="C115" s="2">
        <v>28544</v>
      </c>
      <c r="G115" t="e">
        <f t="shared" si="1"/>
        <v>#VALUE!</v>
      </c>
    </row>
    <row r="116" spans="1:7" x14ac:dyDescent="0.2">
      <c r="A116" s="1">
        <v>24510240100</v>
      </c>
      <c r="B116" s="2" t="s">
        <v>29</v>
      </c>
      <c r="C116" s="2">
        <v>28528</v>
      </c>
      <c r="G116" t="str">
        <f t="shared" si="1"/>
        <v xml:space="preserve"> Baltimore</v>
      </c>
    </row>
    <row r="117" spans="1:7" hidden="1" x14ac:dyDescent="0.2">
      <c r="A117" s="1">
        <v>24005491402</v>
      </c>
      <c r="B117" s="2" t="s">
        <v>17</v>
      </c>
      <c r="C117" s="2">
        <v>28515</v>
      </c>
      <c r="G117" t="e">
        <f t="shared" si="1"/>
        <v>#VALUE!</v>
      </c>
    </row>
    <row r="118" spans="1:7" hidden="1" x14ac:dyDescent="0.2">
      <c r="A118" s="1">
        <v>24005440701</v>
      </c>
      <c r="B118" s="2" t="s">
        <v>16</v>
      </c>
      <c r="C118" s="2">
        <v>28461</v>
      </c>
      <c r="G118" t="e">
        <f t="shared" si="1"/>
        <v>#VALUE!</v>
      </c>
    </row>
    <row r="119" spans="1:7" hidden="1" x14ac:dyDescent="0.2">
      <c r="A119" s="1">
        <v>24005420600</v>
      </c>
      <c r="B119" s="2" t="s">
        <v>3</v>
      </c>
      <c r="C119" s="2">
        <v>28423</v>
      </c>
      <c r="G119" t="e">
        <f t="shared" si="1"/>
        <v>#VALUE!</v>
      </c>
    </row>
    <row r="120" spans="1:7" x14ac:dyDescent="0.2">
      <c r="A120" s="1">
        <v>24005402304</v>
      </c>
      <c r="B120" s="2" t="s">
        <v>51</v>
      </c>
      <c r="C120" s="2">
        <v>28418</v>
      </c>
      <c r="G120" t="str">
        <f t="shared" si="1"/>
        <v xml:space="preserve"> Baltimore</v>
      </c>
    </row>
    <row r="121" spans="1:7" x14ac:dyDescent="0.2">
      <c r="A121" s="1">
        <v>24510270802</v>
      </c>
      <c r="B121" s="2" t="s">
        <v>64</v>
      </c>
      <c r="C121" s="2">
        <v>28407</v>
      </c>
      <c r="G121" t="str">
        <f t="shared" si="1"/>
        <v xml:space="preserve"> Baltimore</v>
      </c>
    </row>
    <row r="122" spans="1:7" hidden="1" x14ac:dyDescent="0.2">
      <c r="A122" s="1">
        <v>24005450400</v>
      </c>
      <c r="B122" s="2" t="s">
        <v>369</v>
      </c>
      <c r="C122" s="2">
        <v>28369</v>
      </c>
      <c r="G122" t="e">
        <f t="shared" si="1"/>
        <v>#VALUE!</v>
      </c>
    </row>
    <row r="123" spans="1:7" x14ac:dyDescent="0.2">
      <c r="A123" s="1">
        <v>24510250103</v>
      </c>
      <c r="B123" s="2" t="s">
        <v>31</v>
      </c>
      <c r="C123" s="2">
        <v>28314</v>
      </c>
      <c r="G123" t="str">
        <f t="shared" si="1"/>
        <v xml:space="preserve"> Baltimore</v>
      </c>
    </row>
    <row r="124" spans="1:7" hidden="1" x14ac:dyDescent="0.2">
      <c r="A124" s="1">
        <v>24005420100</v>
      </c>
      <c r="B124" s="2" t="s">
        <v>21</v>
      </c>
      <c r="C124" s="2">
        <v>28294</v>
      </c>
      <c r="G124" t="e">
        <f t="shared" si="1"/>
        <v>#VALUE!</v>
      </c>
    </row>
    <row r="125" spans="1:7" hidden="1" x14ac:dyDescent="0.2">
      <c r="A125" s="1">
        <v>24005420402</v>
      </c>
      <c r="B125" s="2" t="s">
        <v>21</v>
      </c>
      <c r="C125" s="2">
        <v>28245</v>
      </c>
      <c r="G125" t="e">
        <f t="shared" si="1"/>
        <v>#VALUE!</v>
      </c>
    </row>
    <row r="126" spans="1:7" x14ac:dyDescent="0.2">
      <c r="A126" s="1">
        <v>24510270301</v>
      </c>
      <c r="B126" s="2" t="s">
        <v>41</v>
      </c>
      <c r="C126" s="2">
        <v>28209</v>
      </c>
      <c r="G126" t="str">
        <f t="shared" si="1"/>
        <v xml:space="preserve"> Baltimore</v>
      </c>
    </row>
    <row r="127" spans="1:7" hidden="1" x14ac:dyDescent="0.2">
      <c r="A127" s="1">
        <v>24003750203</v>
      </c>
      <c r="B127" s="2" t="s">
        <v>3</v>
      </c>
      <c r="C127" s="2">
        <v>28109</v>
      </c>
      <c r="G127" t="e">
        <f t="shared" si="1"/>
        <v>#VALUE!</v>
      </c>
    </row>
    <row r="128" spans="1:7" hidden="1" x14ac:dyDescent="0.2">
      <c r="A128" s="1">
        <v>24005420303</v>
      </c>
      <c r="B128" s="2" t="s">
        <v>21</v>
      </c>
      <c r="C128" s="2">
        <v>28023</v>
      </c>
      <c r="G128" t="e">
        <f t="shared" si="1"/>
        <v>#VALUE!</v>
      </c>
    </row>
    <row r="129" spans="1:7" hidden="1" x14ac:dyDescent="0.2">
      <c r="A129" s="1">
        <v>24510120201</v>
      </c>
      <c r="B129" s="2" t="s">
        <v>3</v>
      </c>
      <c r="C129" s="2">
        <v>27931</v>
      </c>
      <c r="G129" t="e">
        <f t="shared" si="1"/>
        <v>#VALUE!</v>
      </c>
    </row>
    <row r="130" spans="1:7" hidden="1" x14ac:dyDescent="0.2">
      <c r="A130" s="1">
        <v>24005430900</v>
      </c>
      <c r="B130" s="2" t="s">
        <v>3</v>
      </c>
      <c r="C130" s="2">
        <v>27911</v>
      </c>
      <c r="G130" t="e">
        <f t="shared" si="1"/>
        <v>#VALUE!</v>
      </c>
    </row>
    <row r="131" spans="1:7" x14ac:dyDescent="0.2">
      <c r="A131" s="1">
        <v>24510272006</v>
      </c>
      <c r="B131" s="2" t="s">
        <v>38</v>
      </c>
      <c r="C131" s="2">
        <v>27663</v>
      </c>
      <c r="G131" t="str">
        <f t="shared" ref="G131:G194" si="2">MID($B131, FIND(",",$B131)+1, FIND(",",$B131,FIND(",",$B131)+1) -1 -FIND(",",$B131))</f>
        <v xml:space="preserve"> Baltimore</v>
      </c>
    </row>
    <row r="132" spans="1:7" x14ac:dyDescent="0.2">
      <c r="A132" s="1">
        <v>24510130700</v>
      </c>
      <c r="B132" s="2" t="s">
        <v>39</v>
      </c>
      <c r="C132" s="2">
        <v>27631</v>
      </c>
      <c r="G132" t="str">
        <f t="shared" si="2"/>
        <v xml:space="preserve"> Baltimore</v>
      </c>
    </row>
    <row r="133" spans="1:7" x14ac:dyDescent="0.2">
      <c r="A133" s="1">
        <v>24510270903</v>
      </c>
      <c r="B133" s="2" t="s">
        <v>61</v>
      </c>
      <c r="C133" s="2">
        <v>27612</v>
      </c>
      <c r="G133" t="str">
        <f t="shared" si="2"/>
        <v xml:space="preserve"> Baltimore</v>
      </c>
    </row>
    <row r="134" spans="1:7" x14ac:dyDescent="0.2">
      <c r="A134" s="1">
        <v>24510040100</v>
      </c>
      <c r="B134" s="2" t="s">
        <v>58</v>
      </c>
      <c r="C134" s="2">
        <v>27593</v>
      </c>
      <c r="G134" t="str">
        <f t="shared" si="2"/>
        <v xml:space="preserve"> Baltimore</v>
      </c>
    </row>
    <row r="135" spans="1:7" x14ac:dyDescent="0.2">
      <c r="A135" s="1">
        <v>24510261100</v>
      </c>
      <c r="B135" s="2" t="s">
        <v>27</v>
      </c>
      <c r="C135" s="2">
        <v>27541</v>
      </c>
      <c r="G135" t="str">
        <f t="shared" si="2"/>
        <v xml:space="preserve"> Baltimore</v>
      </c>
    </row>
    <row r="136" spans="1:7" hidden="1" x14ac:dyDescent="0.2">
      <c r="A136" s="1">
        <v>24005451100</v>
      </c>
      <c r="B136" s="2" t="s">
        <v>369</v>
      </c>
      <c r="C136" s="2">
        <v>27540</v>
      </c>
      <c r="G136" t="e">
        <f t="shared" si="2"/>
        <v>#VALUE!</v>
      </c>
    </row>
    <row r="137" spans="1:7" hidden="1" x14ac:dyDescent="0.2">
      <c r="A137" s="1">
        <v>24005402404</v>
      </c>
      <c r="B137" s="2" t="s">
        <v>55</v>
      </c>
      <c r="C137" s="2">
        <v>27519</v>
      </c>
      <c r="G137" t="str">
        <f t="shared" si="2"/>
        <v xml:space="preserve"> Lochearn</v>
      </c>
    </row>
    <row r="138" spans="1:7" hidden="1" x14ac:dyDescent="0.2">
      <c r="A138" s="1">
        <v>24005452500</v>
      </c>
      <c r="B138" s="2" t="s">
        <v>21</v>
      </c>
      <c r="C138" s="2">
        <v>27437</v>
      </c>
      <c r="G138" t="e">
        <f t="shared" si="2"/>
        <v>#VALUE!</v>
      </c>
    </row>
    <row r="139" spans="1:7" hidden="1" x14ac:dyDescent="0.2">
      <c r="A139" s="1">
        <v>24005491401</v>
      </c>
      <c r="B139" s="2" t="s">
        <v>17</v>
      </c>
      <c r="C139" s="2">
        <v>27391</v>
      </c>
      <c r="G139" t="e">
        <f t="shared" si="2"/>
        <v>#VALUE!</v>
      </c>
    </row>
    <row r="140" spans="1:7" hidden="1" x14ac:dyDescent="0.2">
      <c r="A140" s="1">
        <v>24005421102</v>
      </c>
      <c r="B140" s="2" t="s">
        <v>21</v>
      </c>
      <c r="C140" s="2">
        <v>27266</v>
      </c>
      <c r="G140" t="e">
        <f t="shared" si="2"/>
        <v>#VALUE!</v>
      </c>
    </row>
    <row r="141" spans="1:7" hidden="1" x14ac:dyDescent="0.2">
      <c r="A141" s="1">
        <v>24005401200</v>
      </c>
      <c r="B141" s="2" t="s">
        <v>46</v>
      </c>
      <c r="C141" s="2">
        <v>27260</v>
      </c>
      <c r="G141" t="e">
        <f t="shared" si="2"/>
        <v>#VALUE!</v>
      </c>
    </row>
    <row r="142" spans="1:7" x14ac:dyDescent="0.2">
      <c r="A142" s="1">
        <v>24510260101</v>
      </c>
      <c r="B142" s="2" t="s">
        <v>53</v>
      </c>
      <c r="C142" s="2">
        <v>27213</v>
      </c>
      <c r="G142" t="str">
        <f t="shared" si="2"/>
        <v xml:space="preserve"> Baltimore</v>
      </c>
    </row>
    <row r="143" spans="1:7" hidden="1" x14ac:dyDescent="0.2">
      <c r="A143" s="1">
        <v>24005441000</v>
      </c>
      <c r="B143" s="2" t="s">
        <v>3</v>
      </c>
      <c r="C143" s="2">
        <v>27180</v>
      </c>
      <c r="G143" t="e">
        <f t="shared" si="2"/>
        <v>#VALUE!</v>
      </c>
    </row>
    <row r="144" spans="1:7" x14ac:dyDescent="0.2">
      <c r="A144" s="1">
        <v>24510270702</v>
      </c>
      <c r="B144" s="2" t="s">
        <v>36</v>
      </c>
      <c r="C144" s="2">
        <v>27141</v>
      </c>
      <c r="G144" t="str">
        <f t="shared" si="2"/>
        <v xml:space="preserve"> Baltimore</v>
      </c>
    </row>
    <row r="145" spans="1:7" x14ac:dyDescent="0.2">
      <c r="A145" s="1">
        <v>24510080101</v>
      </c>
      <c r="B145" s="2" t="s">
        <v>62</v>
      </c>
      <c r="C145" s="2">
        <v>27120</v>
      </c>
      <c r="G145" t="str">
        <f t="shared" si="2"/>
        <v xml:space="preserve"> Baltimore</v>
      </c>
    </row>
    <row r="146" spans="1:7" x14ac:dyDescent="0.2">
      <c r="A146" s="1">
        <v>24510260102</v>
      </c>
      <c r="B146" s="2" t="s">
        <v>66</v>
      </c>
      <c r="C146" s="2">
        <v>27066</v>
      </c>
      <c r="G146" t="str">
        <f t="shared" si="2"/>
        <v xml:space="preserve"> Baltimore</v>
      </c>
    </row>
    <row r="147" spans="1:7" x14ac:dyDescent="0.2">
      <c r="A147" s="1">
        <v>24510240400</v>
      </c>
      <c r="B147" s="2" t="s">
        <v>45</v>
      </c>
      <c r="C147" s="2">
        <v>27057</v>
      </c>
      <c r="G147" t="str">
        <f t="shared" si="2"/>
        <v xml:space="preserve"> Baltimore</v>
      </c>
    </row>
    <row r="148" spans="1:7" hidden="1" x14ac:dyDescent="0.2">
      <c r="A148" s="1">
        <v>24005420302</v>
      </c>
      <c r="B148" s="2" t="s">
        <v>21</v>
      </c>
      <c r="C148" s="2">
        <v>27040</v>
      </c>
      <c r="G148" t="e">
        <f t="shared" si="2"/>
        <v>#VALUE!</v>
      </c>
    </row>
    <row r="149" spans="1:7" x14ac:dyDescent="0.2">
      <c r="A149" s="1">
        <v>24510270401</v>
      </c>
      <c r="B149" s="2" t="s">
        <v>28</v>
      </c>
      <c r="C149" s="2">
        <v>27033</v>
      </c>
      <c r="G149" t="str">
        <f t="shared" si="2"/>
        <v xml:space="preserve"> Baltimore</v>
      </c>
    </row>
    <row r="150" spans="1:7" x14ac:dyDescent="0.2">
      <c r="A150" s="1">
        <v>24510270902</v>
      </c>
      <c r="B150" s="2" t="s">
        <v>71</v>
      </c>
      <c r="C150" s="2">
        <v>27017</v>
      </c>
      <c r="G150" t="str">
        <f t="shared" si="2"/>
        <v xml:space="preserve"> Baltimore</v>
      </c>
    </row>
    <row r="151" spans="1:7" x14ac:dyDescent="0.2">
      <c r="A151" s="1">
        <v>24005401302</v>
      </c>
      <c r="B151" s="2" t="s">
        <v>51</v>
      </c>
      <c r="C151" s="2">
        <v>26999</v>
      </c>
      <c r="G151" t="str">
        <f t="shared" si="2"/>
        <v xml:space="preserve"> Baltimore</v>
      </c>
    </row>
    <row r="152" spans="1:7" hidden="1" x14ac:dyDescent="0.2">
      <c r="A152" s="1">
        <v>24005421200</v>
      </c>
      <c r="B152" s="2" t="s">
        <v>21</v>
      </c>
      <c r="C152" s="2">
        <v>26996</v>
      </c>
      <c r="G152" t="e">
        <f t="shared" si="2"/>
        <v>#VALUE!</v>
      </c>
    </row>
    <row r="153" spans="1:7" x14ac:dyDescent="0.2">
      <c r="A153" s="1">
        <v>24510270801</v>
      </c>
      <c r="B153" s="2" t="s">
        <v>70</v>
      </c>
      <c r="C153" s="2">
        <v>26874</v>
      </c>
      <c r="G153" t="str">
        <f t="shared" si="2"/>
        <v xml:space="preserve"> Baltimore</v>
      </c>
    </row>
    <row r="154" spans="1:7" x14ac:dyDescent="0.2">
      <c r="A154" s="1">
        <v>24510270803</v>
      </c>
      <c r="B154" s="2" t="s">
        <v>67</v>
      </c>
      <c r="C154" s="2">
        <v>26856</v>
      </c>
      <c r="G154" t="str">
        <f t="shared" si="2"/>
        <v xml:space="preserve"> Baltimore</v>
      </c>
    </row>
    <row r="155" spans="1:7" x14ac:dyDescent="0.2">
      <c r="A155" s="1">
        <v>24510260501</v>
      </c>
      <c r="B155" s="2" t="s">
        <v>48</v>
      </c>
      <c r="C155" s="2">
        <v>26814</v>
      </c>
      <c r="G155" t="str">
        <f t="shared" si="2"/>
        <v xml:space="preserve"> Baltimore</v>
      </c>
    </row>
    <row r="156" spans="1:7" x14ac:dyDescent="0.2">
      <c r="A156" s="1">
        <v>24005402405</v>
      </c>
      <c r="B156" s="2" t="s">
        <v>51</v>
      </c>
      <c r="C156" s="2">
        <v>26757</v>
      </c>
      <c r="G156" t="str">
        <f t="shared" si="2"/>
        <v xml:space="preserve"> Baltimore</v>
      </c>
    </row>
    <row r="157" spans="1:7" hidden="1" x14ac:dyDescent="0.2">
      <c r="A157" s="1">
        <v>24005450501</v>
      </c>
      <c r="B157" s="2" t="s">
        <v>369</v>
      </c>
      <c r="C157" s="2">
        <v>26745</v>
      </c>
      <c r="G157" t="e">
        <f t="shared" si="2"/>
        <v>#VALUE!</v>
      </c>
    </row>
    <row r="158" spans="1:7" x14ac:dyDescent="0.2">
      <c r="A158" s="1">
        <v>24510150702</v>
      </c>
      <c r="B158" s="2" t="s">
        <v>78</v>
      </c>
      <c r="C158" s="2">
        <v>26666</v>
      </c>
      <c r="G158" t="str">
        <f t="shared" si="2"/>
        <v xml:space="preserve"> Baltimore</v>
      </c>
    </row>
    <row r="159" spans="1:7" hidden="1" x14ac:dyDescent="0.2">
      <c r="A159" s="1">
        <v>24005402305</v>
      </c>
      <c r="B159" s="2" t="s">
        <v>372</v>
      </c>
      <c r="C159" s="2">
        <v>26651</v>
      </c>
      <c r="G159" t="str">
        <f t="shared" si="2"/>
        <v xml:space="preserve"> Pikesville</v>
      </c>
    </row>
    <row r="160" spans="1:7" hidden="1" x14ac:dyDescent="0.2">
      <c r="A160" s="1">
        <v>24005420301</v>
      </c>
      <c r="B160" s="2" t="s">
        <v>21</v>
      </c>
      <c r="C160" s="2">
        <v>26408</v>
      </c>
      <c r="G160" t="e">
        <f t="shared" si="2"/>
        <v>#VALUE!</v>
      </c>
    </row>
    <row r="161" spans="1:7" hidden="1" x14ac:dyDescent="0.2">
      <c r="A161" s="1">
        <v>24005430200</v>
      </c>
      <c r="B161" s="2" t="s">
        <v>37</v>
      </c>
      <c r="C161" s="2">
        <v>26372</v>
      </c>
      <c r="G161" t="str">
        <f t="shared" si="2"/>
        <v xml:space="preserve"> Lansdowne</v>
      </c>
    </row>
    <row r="162" spans="1:7" x14ac:dyDescent="0.2">
      <c r="A162" s="1">
        <v>24510151100</v>
      </c>
      <c r="B162" s="2" t="s">
        <v>72</v>
      </c>
      <c r="C162" s="2">
        <v>26312</v>
      </c>
      <c r="G162" t="str">
        <f t="shared" si="2"/>
        <v xml:space="preserve"> Baltimore</v>
      </c>
    </row>
    <row r="163" spans="1:7" x14ac:dyDescent="0.2">
      <c r="A163" s="1">
        <v>24510270901</v>
      </c>
      <c r="B163" s="2" t="s">
        <v>74</v>
      </c>
      <c r="C163" s="2">
        <v>26246</v>
      </c>
      <c r="G163" t="str">
        <f t="shared" si="2"/>
        <v xml:space="preserve"> Baltimore</v>
      </c>
    </row>
    <row r="164" spans="1:7" x14ac:dyDescent="0.2">
      <c r="A164" s="1">
        <v>24510010500</v>
      </c>
      <c r="B164" s="2" t="s">
        <v>57</v>
      </c>
      <c r="C164" s="2">
        <v>26226</v>
      </c>
      <c r="G164" t="str">
        <f t="shared" si="2"/>
        <v xml:space="preserve"> Baltimore</v>
      </c>
    </row>
    <row r="165" spans="1:7" x14ac:dyDescent="0.2">
      <c r="A165" s="1">
        <v>24510250101</v>
      </c>
      <c r="B165" s="2" t="s">
        <v>73</v>
      </c>
      <c r="C165" s="2">
        <v>26218</v>
      </c>
      <c r="G165" t="str">
        <f t="shared" si="2"/>
        <v xml:space="preserve"> Baltimore</v>
      </c>
    </row>
    <row r="166" spans="1:7" x14ac:dyDescent="0.2">
      <c r="A166" s="1">
        <v>24510271900</v>
      </c>
      <c r="B166" s="2" t="s">
        <v>38</v>
      </c>
      <c r="C166" s="2">
        <v>26015</v>
      </c>
      <c r="G166" t="str">
        <f t="shared" si="2"/>
        <v xml:space="preserve"> Baltimore</v>
      </c>
    </row>
    <row r="167" spans="1:7" x14ac:dyDescent="0.2">
      <c r="A167" s="1">
        <v>24510280200</v>
      </c>
      <c r="B167" s="2" t="s">
        <v>51</v>
      </c>
      <c r="C167" s="2">
        <v>25949</v>
      </c>
      <c r="G167" t="str">
        <f t="shared" si="2"/>
        <v xml:space="preserve"> Baltimore</v>
      </c>
    </row>
    <row r="168" spans="1:7" hidden="1" x14ac:dyDescent="0.2">
      <c r="A168" s="1">
        <v>24005420401</v>
      </c>
      <c r="B168" s="2" t="s">
        <v>21</v>
      </c>
      <c r="C168" s="2">
        <v>25926</v>
      </c>
      <c r="G168" t="e">
        <f t="shared" si="2"/>
        <v>#VALUE!</v>
      </c>
    </row>
    <row r="169" spans="1:7" x14ac:dyDescent="0.2">
      <c r="A169" s="1">
        <v>24510272007</v>
      </c>
      <c r="B169" s="2" t="s">
        <v>42</v>
      </c>
      <c r="C169" s="2">
        <v>25872</v>
      </c>
      <c r="G169" t="str">
        <f t="shared" si="2"/>
        <v xml:space="preserve"> Baltimore</v>
      </c>
    </row>
    <row r="170" spans="1:7" x14ac:dyDescent="0.2">
      <c r="A170" s="1">
        <v>24510130600</v>
      </c>
      <c r="B170" s="2" t="s">
        <v>39</v>
      </c>
      <c r="C170" s="2">
        <v>25718</v>
      </c>
      <c r="G170" t="str">
        <f t="shared" si="2"/>
        <v xml:space="preserve"> Baltimore</v>
      </c>
    </row>
    <row r="171" spans="1:7" x14ac:dyDescent="0.2">
      <c r="A171" s="1">
        <v>24510260302</v>
      </c>
      <c r="B171" s="2" t="s">
        <v>62</v>
      </c>
      <c r="C171" s="2">
        <v>25686</v>
      </c>
      <c r="G171" t="str">
        <f t="shared" si="2"/>
        <v xml:space="preserve"> Baltimore</v>
      </c>
    </row>
    <row r="172" spans="1:7" x14ac:dyDescent="0.2">
      <c r="A172" s="1">
        <v>24510260605</v>
      </c>
      <c r="B172" s="2" t="s">
        <v>52</v>
      </c>
      <c r="C172" s="2">
        <v>25520</v>
      </c>
      <c r="G172" t="str">
        <f t="shared" si="2"/>
        <v xml:space="preserve"> Baltimore</v>
      </c>
    </row>
    <row r="173" spans="1:7" x14ac:dyDescent="0.2">
      <c r="A173" s="1">
        <v>24510250206</v>
      </c>
      <c r="B173" s="2" t="s">
        <v>56</v>
      </c>
      <c r="C173" s="2">
        <v>25518</v>
      </c>
      <c r="G173" t="str">
        <f t="shared" si="2"/>
        <v xml:space="preserve"> Baltimore</v>
      </c>
    </row>
    <row r="174" spans="1:7" x14ac:dyDescent="0.2">
      <c r="A174" s="1">
        <v>24510130806</v>
      </c>
      <c r="B174" s="2" t="s">
        <v>59</v>
      </c>
      <c r="C174" s="2">
        <v>25508</v>
      </c>
      <c r="G174" t="str">
        <f t="shared" si="2"/>
        <v xml:space="preserve"> Baltimore</v>
      </c>
    </row>
    <row r="175" spans="1:7" x14ac:dyDescent="0.2">
      <c r="A175" s="1">
        <v>24510270805</v>
      </c>
      <c r="B175" s="2" t="s">
        <v>75</v>
      </c>
      <c r="C175" s="2">
        <v>25372</v>
      </c>
      <c r="G175" t="str">
        <f t="shared" si="2"/>
        <v xml:space="preserve"> Baltimore</v>
      </c>
    </row>
    <row r="176" spans="1:7" x14ac:dyDescent="0.2">
      <c r="A176" s="1">
        <v>24005403202</v>
      </c>
      <c r="B176" s="2" t="s">
        <v>51</v>
      </c>
      <c r="C176" s="2">
        <v>25215</v>
      </c>
      <c r="G176" t="str">
        <f t="shared" si="2"/>
        <v xml:space="preserve"> Baltimore</v>
      </c>
    </row>
    <row r="177" spans="1:7" hidden="1" x14ac:dyDescent="0.2">
      <c r="A177" s="1">
        <v>24510260900</v>
      </c>
      <c r="B177" s="2" t="s">
        <v>3</v>
      </c>
      <c r="C177" s="2">
        <v>25060</v>
      </c>
      <c r="G177" t="e">
        <f t="shared" si="2"/>
        <v>#VALUE!</v>
      </c>
    </row>
    <row r="178" spans="1:7" hidden="1" x14ac:dyDescent="0.2">
      <c r="A178" s="1">
        <v>24005421101</v>
      </c>
      <c r="B178" s="2" t="s">
        <v>3</v>
      </c>
      <c r="C178" s="2">
        <v>25013</v>
      </c>
      <c r="G178" t="e">
        <f t="shared" si="2"/>
        <v>#VALUE!</v>
      </c>
    </row>
    <row r="179" spans="1:7" x14ac:dyDescent="0.2">
      <c r="A179" s="1">
        <v>24510010300</v>
      </c>
      <c r="B179" s="2" t="s">
        <v>27</v>
      </c>
      <c r="C179" s="2">
        <v>24983</v>
      </c>
      <c r="G179" t="str">
        <f t="shared" si="2"/>
        <v xml:space="preserve"> Baltimore</v>
      </c>
    </row>
    <row r="180" spans="1:7" x14ac:dyDescent="0.2">
      <c r="A180" s="1">
        <v>24510090300</v>
      </c>
      <c r="B180" s="2" t="s">
        <v>63</v>
      </c>
      <c r="C180" s="2">
        <v>24958</v>
      </c>
      <c r="G180" t="str">
        <f t="shared" si="2"/>
        <v xml:space="preserve"> Baltimore</v>
      </c>
    </row>
    <row r="181" spans="1:7" x14ac:dyDescent="0.2">
      <c r="A181" s="1">
        <v>24510280402</v>
      </c>
      <c r="B181" s="2" t="s">
        <v>77</v>
      </c>
      <c r="C181" s="2">
        <v>24832</v>
      </c>
      <c r="G181" t="str">
        <f t="shared" si="2"/>
        <v xml:space="preserve"> Baltimore</v>
      </c>
    </row>
    <row r="182" spans="1:7" x14ac:dyDescent="0.2">
      <c r="A182" s="1">
        <v>24510280404</v>
      </c>
      <c r="B182" s="2" t="s">
        <v>79</v>
      </c>
      <c r="C182" s="2">
        <v>24782</v>
      </c>
      <c r="G182" t="str">
        <f t="shared" si="2"/>
        <v xml:space="preserve"> Baltimore</v>
      </c>
    </row>
    <row r="183" spans="1:7" hidden="1" x14ac:dyDescent="0.2">
      <c r="A183" s="1">
        <v>24003750102</v>
      </c>
      <c r="B183" s="2" t="s">
        <v>3</v>
      </c>
      <c r="C183" s="2">
        <v>24781</v>
      </c>
      <c r="G183" t="e">
        <f t="shared" si="2"/>
        <v>#VALUE!</v>
      </c>
    </row>
    <row r="184" spans="1:7" hidden="1" x14ac:dyDescent="0.2">
      <c r="A184" s="1">
        <v>24003750101</v>
      </c>
      <c r="B184" s="2" t="s">
        <v>26</v>
      </c>
      <c r="C184" s="2">
        <v>24486</v>
      </c>
      <c r="G184" t="e">
        <f t="shared" si="2"/>
        <v>#VALUE!</v>
      </c>
    </row>
    <row r="185" spans="1:7" x14ac:dyDescent="0.2">
      <c r="A185" s="1">
        <v>24510150800</v>
      </c>
      <c r="B185" s="2" t="s">
        <v>85</v>
      </c>
      <c r="C185" s="2">
        <v>24478</v>
      </c>
      <c r="G185" t="str">
        <f t="shared" si="2"/>
        <v xml:space="preserve"> Baltimore</v>
      </c>
    </row>
    <row r="186" spans="1:7" x14ac:dyDescent="0.2">
      <c r="A186" s="1">
        <v>24510280301</v>
      </c>
      <c r="B186" s="2" t="s">
        <v>51</v>
      </c>
      <c r="C186" s="2">
        <v>24477</v>
      </c>
      <c r="G186" t="str">
        <f t="shared" si="2"/>
        <v xml:space="preserve"> Baltimore</v>
      </c>
    </row>
    <row r="187" spans="1:7" hidden="1" x14ac:dyDescent="0.2">
      <c r="A187" s="1">
        <v>24005421000</v>
      </c>
      <c r="B187" s="2" t="s">
        <v>21</v>
      </c>
      <c r="C187" s="2">
        <v>24289</v>
      </c>
      <c r="G187" t="e">
        <f t="shared" si="2"/>
        <v>#VALUE!</v>
      </c>
    </row>
    <row r="188" spans="1:7" x14ac:dyDescent="0.2">
      <c r="A188" s="1">
        <v>24510010200</v>
      </c>
      <c r="B188" s="2" t="s">
        <v>65</v>
      </c>
      <c r="C188" s="2">
        <v>24247</v>
      </c>
      <c r="G188" t="str">
        <f t="shared" si="2"/>
        <v xml:space="preserve"> Baltimore</v>
      </c>
    </row>
    <row r="189" spans="1:7" x14ac:dyDescent="0.2">
      <c r="A189" s="1">
        <v>24510230200</v>
      </c>
      <c r="B189" s="2" t="s">
        <v>54</v>
      </c>
      <c r="C189" s="2">
        <v>24138</v>
      </c>
      <c r="G189" t="str">
        <f t="shared" si="2"/>
        <v xml:space="preserve"> Baltimore</v>
      </c>
    </row>
    <row r="190" spans="1:7" hidden="1" x14ac:dyDescent="0.2">
      <c r="A190" s="1">
        <v>24005492300</v>
      </c>
      <c r="B190" s="2" t="s">
        <v>369</v>
      </c>
      <c r="C190" s="2">
        <v>24131</v>
      </c>
      <c r="G190" t="e">
        <f t="shared" si="2"/>
        <v>#VALUE!</v>
      </c>
    </row>
    <row r="191" spans="1:7" x14ac:dyDescent="0.2">
      <c r="A191" s="1">
        <v>24510280302</v>
      </c>
      <c r="B191" s="2" t="s">
        <v>80</v>
      </c>
      <c r="C191" s="2">
        <v>24058</v>
      </c>
      <c r="G191" t="str">
        <f t="shared" si="2"/>
        <v xml:space="preserve"> Baltimore</v>
      </c>
    </row>
    <row r="192" spans="1:7" x14ac:dyDescent="0.2">
      <c r="A192" s="1">
        <v>24510260700</v>
      </c>
      <c r="B192" s="2" t="s">
        <v>60</v>
      </c>
      <c r="C192" s="2">
        <v>24042</v>
      </c>
      <c r="G192" t="str">
        <f t="shared" si="2"/>
        <v xml:space="preserve"> Baltimore</v>
      </c>
    </row>
    <row r="193" spans="1:7" hidden="1" x14ac:dyDescent="0.2">
      <c r="A193" s="1">
        <v>24005452300</v>
      </c>
      <c r="B193" s="2" t="s">
        <v>3</v>
      </c>
      <c r="C193" s="2">
        <v>23964</v>
      </c>
      <c r="G193" t="e">
        <f t="shared" si="2"/>
        <v>#VALUE!</v>
      </c>
    </row>
    <row r="194" spans="1:7" x14ac:dyDescent="0.2">
      <c r="A194" s="1">
        <v>24510250102</v>
      </c>
      <c r="B194" s="2" t="s">
        <v>84</v>
      </c>
      <c r="C194" s="2">
        <v>23958</v>
      </c>
      <c r="G194" t="str">
        <f t="shared" si="2"/>
        <v xml:space="preserve"> Baltimore</v>
      </c>
    </row>
    <row r="195" spans="1:7" x14ac:dyDescent="0.2">
      <c r="A195" s="1">
        <v>24510260201</v>
      </c>
      <c r="B195" s="2" t="s">
        <v>66</v>
      </c>
      <c r="C195" s="2">
        <v>23780</v>
      </c>
      <c r="G195" t="str">
        <f t="shared" ref="G195:G258" si="3">MID($B195, FIND(",",$B195)+1, FIND(",",$B195,FIND(",",$B195)+1) -1 -FIND(",",$B195))</f>
        <v xml:space="preserve"> Baltimore</v>
      </c>
    </row>
    <row r="196" spans="1:7" x14ac:dyDescent="0.2">
      <c r="A196" s="1">
        <v>24510200800</v>
      </c>
      <c r="B196" s="2" t="s">
        <v>79</v>
      </c>
      <c r="C196" s="2">
        <v>23633</v>
      </c>
      <c r="G196" t="str">
        <f t="shared" si="3"/>
        <v xml:space="preserve"> Baltimore</v>
      </c>
    </row>
    <row r="197" spans="1:7" hidden="1" x14ac:dyDescent="0.2">
      <c r="A197" s="1">
        <v>24005430300</v>
      </c>
      <c r="B197" s="2" t="s">
        <v>33</v>
      </c>
      <c r="C197" s="2">
        <v>23559</v>
      </c>
      <c r="G197" t="str">
        <f t="shared" si="3"/>
        <v xml:space="preserve"> Halethorpe</v>
      </c>
    </row>
    <row r="198" spans="1:7" x14ac:dyDescent="0.2">
      <c r="A198" s="1">
        <v>24510150900</v>
      </c>
      <c r="B198" s="2" t="s">
        <v>89</v>
      </c>
      <c r="C198" s="2">
        <v>23512</v>
      </c>
      <c r="G198" t="str">
        <f t="shared" si="3"/>
        <v xml:space="preserve"> Baltimore</v>
      </c>
    </row>
    <row r="199" spans="1:7" hidden="1" x14ac:dyDescent="0.2">
      <c r="A199" s="1">
        <v>24005430101</v>
      </c>
      <c r="B199" s="2" t="s">
        <v>37</v>
      </c>
      <c r="C199" s="2">
        <v>23360</v>
      </c>
      <c r="G199" t="str">
        <f t="shared" si="3"/>
        <v xml:space="preserve"> Lansdowne</v>
      </c>
    </row>
    <row r="200" spans="1:7" hidden="1" x14ac:dyDescent="0.2">
      <c r="A200" s="1">
        <v>24005421300</v>
      </c>
      <c r="B200" s="2" t="s">
        <v>21</v>
      </c>
      <c r="C200" s="2">
        <v>23272</v>
      </c>
      <c r="G200" t="e">
        <f t="shared" si="3"/>
        <v>#VALUE!</v>
      </c>
    </row>
    <row r="201" spans="1:7" x14ac:dyDescent="0.2">
      <c r="A201" s="1">
        <v>24510250303</v>
      </c>
      <c r="B201" s="2" t="s">
        <v>56</v>
      </c>
      <c r="C201" s="2">
        <v>23272</v>
      </c>
      <c r="G201" t="str">
        <f t="shared" si="3"/>
        <v xml:space="preserve"> Baltimore</v>
      </c>
    </row>
    <row r="202" spans="1:7" x14ac:dyDescent="0.2">
      <c r="A202" s="1">
        <v>24510150701</v>
      </c>
      <c r="B202" s="2" t="s">
        <v>81</v>
      </c>
      <c r="C202" s="2">
        <v>23244</v>
      </c>
      <c r="G202" t="str">
        <f t="shared" si="3"/>
        <v xml:space="preserve"> Baltimore</v>
      </c>
    </row>
    <row r="203" spans="1:7" x14ac:dyDescent="0.2">
      <c r="A203" s="1">
        <v>24510090100</v>
      </c>
      <c r="B203" s="2" t="s">
        <v>63</v>
      </c>
      <c r="C203" s="2">
        <v>23212</v>
      </c>
      <c r="G203" t="str">
        <f t="shared" si="3"/>
        <v xml:space="preserve"> Baltimore</v>
      </c>
    </row>
    <row r="204" spans="1:7" x14ac:dyDescent="0.2">
      <c r="A204" s="1">
        <v>24510260202</v>
      </c>
      <c r="B204" s="2" t="s">
        <v>83</v>
      </c>
      <c r="C204" s="2">
        <v>23197</v>
      </c>
      <c r="G204" t="str">
        <f t="shared" si="3"/>
        <v xml:space="preserve"> Baltimore</v>
      </c>
    </row>
    <row r="205" spans="1:7" x14ac:dyDescent="0.2">
      <c r="A205" s="1">
        <v>24510030200</v>
      </c>
      <c r="B205" s="2" t="s">
        <v>76</v>
      </c>
      <c r="C205" s="2">
        <v>23163</v>
      </c>
      <c r="G205" t="str">
        <f t="shared" si="3"/>
        <v xml:space="preserve"> Baltimore</v>
      </c>
    </row>
    <row r="206" spans="1:7" x14ac:dyDescent="0.2">
      <c r="A206" s="1">
        <v>24510170100</v>
      </c>
      <c r="B206" s="2" t="s">
        <v>58</v>
      </c>
      <c r="C206" s="2">
        <v>23163</v>
      </c>
      <c r="G206" t="str">
        <f t="shared" si="3"/>
        <v xml:space="preserve"> Baltimore</v>
      </c>
    </row>
    <row r="207" spans="1:7" x14ac:dyDescent="0.2">
      <c r="A207" s="1">
        <v>24510280102</v>
      </c>
      <c r="B207" s="2" t="s">
        <v>51</v>
      </c>
      <c r="C207" s="2">
        <v>23149</v>
      </c>
      <c r="G207" t="str">
        <f t="shared" si="3"/>
        <v xml:space="preserve"> Baltimore</v>
      </c>
    </row>
    <row r="208" spans="1:7" x14ac:dyDescent="0.2">
      <c r="A208" s="1">
        <v>24510200701</v>
      </c>
      <c r="B208" s="2" t="s">
        <v>88</v>
      </c>
      <c r="C208" s="2">
        <v>23051</v>
      </c>
      <c r="G208" t="str">
        <f t="shared" si="3"/>
        <v xml:space="preserve"> Baltimore</v>
      </c>
    </row>
    <row r="209" spans="1:7" x14ac:dyDescent="0.2">
      <c r="A209" s="1">
        <v>24510260203</v>
      </c>
      <c r="B209" s="2" t="s">
        <v>66</v>
      </c>
      <c r="C209" s="2">
        <v>22966</v>
      </c>
      <c r="G209" t="str">
        <f t="shared" si="3"/>
        <v xml:space="preserve"> Baltimore</v>
      </c>
    </row>
    <row r="210" spans="1:7" x14ac:dyDescent="0.2">
      <c r="A210" s="1">
        <v>24510150500</v>
      </c>
      <c r="B210" s="2" t="s">
        <v>91</v>
      </c>
      <c r="C210" s="2">
        <v>22829</v>
      </c>
      <c r="G210" t="str">
        <f t="shared" si="3"/>
        <v xml:space="preserve"> Baltimore</v>
      </c>
    </row>
    <row r="211" spans="1:7" x14ac:dyDescent="0.2">
      <c r="A211" s="1">
        <v>24510130804</v>
      </c>
      <c r="B211" s="2" t="s">
        <v>39</v>
      </c>
      <c r="C211" s="2">
        <v>22770</v>
      </c>
      <c r="G211" t="str">
        <f t="shared" si="3"/>
        <v xml:space="preserve"> Baltimore</v>
      </c>
    </row>
    <row r="212" spans="1:7" x14ac:dyDescent="0.2">
      <c r="A212" s="1">
        <v>24510020100</v>
      </c>
      <c r="B212" s="2" t="s">
        <v>57</v>
      </c>
      <c r="C212" s="2">
        <v>22647</v>
      </c>
      <c r="G212" t="str">
        <f t="shared" si="3"/>
        <v xml:space="preserve"> Baltimore</v>
      </c>
    </row>
    <row r="213" spans="1:7" x14ac:dyDescent="0.2">
      <c r="A213" s="1">
        <v>24510260402</v>
      </c>
      <c r="B213" s="2" t="s">
        <v>66</v>
      </c>
      <c r="C213" s="2">
        <v>22371</v>
      </c>
      <c r="G213" t="str">
        <f t="shared" si="3"/>
        <v xml:space="preserve"> Baltimore</v>
      </c>
    </row>
    <row r="214" spans="1:7" x14ac:dyDescent="0.2">
      <c r="A214" s="1">
        <v>24510271002</v>
      </c>
      <c r="B214" s="2" t="s">
        <v>92</v>
      </c>
      <c r="C214" s="2">
        <v>22368</v>
      </c>
      <c r="G214" t="str">
        <f t="shared" si="3"/>
        <v xml:space="preserve"> Baltimore</v>
      </c>
    </row>
    <row r="215" spans="1:7" x14ac:dyDescent="0.2">
      <c r="A215" s="1">
        <v>24510160801</v>
      </c>
      <c r="B215" s="2" t="s">
        <v>95</v>
      </c>
      <c r="C215" s="2">
        <v>22336</v>
      </c>
      <c r="G215" t="str">
        <f t="shared" si="3"/>
        <v xml:space="preserve"> Baltimore</v>
      </c>
    </row>
    <row r="216" spans="1:7" x14ac:dyDescent="0.2">
      <c r="A216" s="1">
        <v>24510200100</v>
      </c>
      <c r="B216" s="2" t="s">
        <v>115</v>
      </c>
      <c r="C216" s="2">
        <v>22333</v>
      </c>
      <c r="G216" t="str">
        <f t="shared" si="3"/>
        <v xml:space="preserve"> Baltimore</v>
      </c>
    </row>
    <row r="217" spans="1:7" x14ac:dyDescent="0.2">
      <c r="A217" s="1">
        <v>24510271700</v>
      </c>
      <c r="B217" s="2" t="s">
        <v>97</v>
      </c>
      <c r="C217" s="2">
        <v>22274</v>
      </c>
      <c r="G217" t="str">
        <f t="shared" si="3"/>
        <v xml:space="preserve"> Baltimore</v>
      </c>
    </row>
    <row r="218" spans="1:7" x14ac:dyDescent="0.2">
      <c r="A218" s="1">
        <v>24510180200</v>
      </c>
      <c r="B218" s="2" t="s">
        <v>102</v>
      </c>
      <c r="C218" s="2">
        <v>22255</v>
      </c>
      <c r="G218" t="str">
        <f t="shared" si="3"/>
        <v xml:space="preserve"> Baltimore</v>
      </c>
    </row>
    <row r="219" spans="1:7" x14ac:dyDescent="0.2">
      <c r="A219" s="1">
        <v>24510250401</v>
      </c>
      <c r="B219" s="2" t="s">
        <v>47</v>
      </c>
      <c r="C219" s="2">
        <v>22234</v>
      </c>
      <c r="G219" t="str">
        <f t="shared" si="3"/>
        <v xml:space="preserve"> Baltimore</v>
      </c>
    </row>
    <row r="220" spans="1:7" x14ac:dyDescent="0.2">
      <c r="A220" s="1">
        <v>24510260403</v>
      </c>
      <c r="B220" s="2" t="s">
        <v>103</v>
      </c>
      <c r="C220" s="2">
        <v>22133</v>
      </c>
      <c r="G220" t="str">
        <f t="shared" si="3"/>
        <v xml:space="preserve"> Baltimore</v>
      </c>
    </row>
    <row r="221" spans="1:7" x14ac:dyDescent="0.2">
      <c r="A221" s="1">
        <v>24510280101</v>
      </c>
      <c r="B221" s="2" t="s">
        <v>94</v>
      </c>
      <c r="C221" s="2">
        <v>22077</v>
      </c>
      <c r="G221" t="str">
        <f t="shared" si="3"/>
        <v xml:space="preserve"> Baltimore</v>
      </c>
    </row>
    <row r="222" spans="1:7" x14ac:dyDescent="0.2">
      <c r="A222" s="1">
        <v>24510260800</v>
      </c>
      <c r="B222" s="2" t="s">
        <v>68</v>
      </c>
      <c r="C222" s="2">
        <v>22071</v>
      </c>
      <c r="G222" t="str">
        <f t="shared" si="3"/>
        <v xml:space="preserve"> Baltimore</v>
      </c>
    </row>
    <row r="223" spans="1:7" x14ac:dyDescent="0.2">
      <c r="A223" s="1">
        <v>24510151000</v>
      </c>
      <c r="B223" s="2" t="s">
        <v>96</v>
      </c>
      <c r="C223" s="2">
        <v>22013</v>
      </c>
      <c r="G223" t="str">
        <f t="shared" si="3"/>
        <v xml:space="preserve"> Baltimore</v>
      </c>
    </row>
    <row r="224" spans="1:7" x14ac:dyDescent="0.2">
      <c r="A224" s="1">
        <v>24510090400</v>
      </c>
      <c r="B224" s="2" t="s">
        <v>93</v>
      </c>
      <c r="C224" s="2">
        <v>21902</v>
      </c>
      <c r="G224" t="str">
        <f t="shared" si="3"/>
        <v xml:space="preserve"> Baltimore</v>
      </c>
    </row>
    <row r="225" spans="1:7" x14ac:dyDescent="0.2">
      <c r="A225" s="1">
        <v>24510160500</v>
      </c>
      <c r="B225" s="2" t="s">
        <v>111</v>
      </c>
      <c r="C225" s="2">
        <v>21639</v>
      </c>
      <c r="G225" t="str">
        <f t="shared" si="3"/>
        <v xml:space="preserve"> Baltimore</v>
      </c>
    </row>
    <row r="226" spans="1:7" x14ac:dyDescent="0.2">
      <c r="A226" s="1">
        <v>24510260301</v>
      </c>
      <c r="B226" s="2" t="s">
        <v>62</v>
      </c>
      <c r="C226" s="2">
        <v>21636</v>
      </c>
      <c r="G226" t="str">
        <f t="shared" si="3"/>
        <v xml:space="preserve"> Baltimore</v>
      </c>
    </row>
    <row r="227" spans="1:7" x14ac:dyDescent="0.2">
      <c r="A227" s="1">
        <v>24510020200</v>
      </c>
      <c r="B227" s="2" t="s">
        <v>57</v>
      </c>
      <c r="C227" s="2">
        <v>21577</v>
      </c>
      <c r="G227" t="str">
        <f t="shared" si="3"/>
        <v xml:space="preserve"> Baltimore</v>
      </c>
    </row>
    <row r="228" spans="1:7" x14ac:dyDescent="0.2">
      <c r="A228" s="1">
        <v>24510160600</v>
      </c>
      <c r="B228" s="2" t="s">
        <v>105</v>
      </c>
      <c r="C228" s="2">
        <v>21565</v>
      </c>
      <c r="G228" t="str">
        <f t="shared" si="3"/>
        <v xml:space="preserve"> Baltimore</v>
      </c>
    </row>
    <row r="229" spans="1:7" x14ac:dyDescent="0.2">
      <c r="A229" s="1">
        <v>24510080102</v>
      </c>
      <c r="B229" s="2" t="s">
        <v>62</v>
      </c>
      <c r="C229" s="2">
        <v>21515</v>
      </c>
      <c r="G229" t="str">
        <f t="shared" si="3"/>
        <v xml:space="preserve"> Baltimore</v>
      </c>
    </row>
    <row r="230" spans="1:7" hidden="1" x14ac:dyDescent="0.2">
      <c r="A230" s="1">
        <v>24510070100</v>
      </c>
      <c r="B230" s="2" t="s">
        <v>3</v>
      </c>
      <c r="C230" s="2">
        <v>21483</v>
      </c>
      <c r="G230" t="e">
        <f t="shared" si="3"/>
        <v>#VALUE!</v>
      </c>
    </row>
    <row r="231" spans="1:7" x14ac:dyDescent="0.2">
      <c r="A231" s="1">
        <v>24510271801</v>
      </c>
      <c r="B231" s="2" t="s">
        <v>104</v>
      </c>
      <c r="C231" s="2">
        <v>21359</v>
      </c>
      <c r="G231" t="str">
        <f t="shared" si="3"/>
        <v xml:space="preserve"> Baltimore</v>
      </c>
    </row>
    <row r="232" spans="1:7" x14ac:dyDescent="0.2">
      <c r="A232" s="1">
        <v>24510250207</v>
      </c>
      <c r="B232" s="2" t="s">
        <v>110</v>
      </c>
      <c r="C232" s="2">
        <v>21337</v>
      </c>
      <c r="G232" t="str">
        <f t="shared" si="3"/>
        <v xml:space="preserve"> Baltimore</v>
      </c>
    </row>
    <row r="233" spans="1:7" x14ac:dyDescent="0.2">
      <c r="A233" s="1">
        <v>24510151200</v>
      </c>
      <c r="B233" s="2" t="s">
        <v>109</v>
      </c>
      <c r="C233" s="2">
        <v>21261</v>
      </c>
      <c r="G233" t="str">
        <f t="shared" si="3"/>
        <v xml:space="preserve"> Baltimore</v>
      </c>
    </row>
    <row r="234" spans="1:7" x14ac:dyDescent="0.2">
      <c r="A234" s="1">
        <v>24510090500</v>
      </c>
      <c r="B234" s="2" t="s">
        <v>93</v>
      </c>
      <c r="C234" s="2">
        <v>21247</v>
      </c>
      <c r="G234" t="str">
        <f t="shared" si="3"/>
        <v xml:space="preserve"> Baltimore</v>
      </c>
    </row>
    <row r="235" spans="1:7" x14ac:dyDescent="0.2">
      <c r="A235" s="1">
        <v>24510090700</v>
      </c>
      <c r="B235" s="2" t="s">
        <v>112</v>
      </c>
      <c r="C235" s="2">
        <v>21237</v>
      </c>
      <c r="G235" t="str">
        <f t="shared" si="3"/>
        <v xml:space="preserve"> Baltimore</v>
      </c>
    </row>
    <row r="236" spans="1:7" x14ac:dyDescent="0.2">
      <c r="A236" s="1">
        <v>24510160802</v>
      </c>
      <c r="B236" s="2" t="s">
        <v>95</v>
      </c>
      <c r="C236" s="2">
        <v>21223</v>
      </c>
      <c r="G236" t="str">
        <f t="shared" si="3"/>
        <v xml:space="preserve"> Baltimore</v>
      </c>
    </row>
    <row r="237" spans="1:7" x14ac:dyDescent="0.2">
      <c r="A237" s="1">
        <v>24510110200</v>
      </c>
      <c r="B237" s="2" t="s">
        <v>58</v>
      </c>
      <c r="C237" s="2">
        <v>21126</v>
      </c>
      <c r="G237" t="str">
        <f t="shared" si="3"/>
        <v xml:space="preserve"> Baltimore</v>
      </c>
    </row>
    <row r="238" spans="1:7" x14ac:dyDescent="0.2">
      <c r="A238" s="1">
        <v>24510250205</v>
      </c>
      <c r="B238" s="2" t="s">
        <v>82</v>
      </c>
      <c r="C238" s="2">
        <v>21078</v>
      </c>
      <c r="G238" t="str">
        <f t="shared" si="3"/>
        <v xml:space="preserve"> Baltimore</v>
      </c>
    </row>
    <row r="239" spans="1:7" x14ac:dyDescent="0.2">
      <c r="A239" s="1">
        <v>24510260401</v>
      </c>
      <c r="B239" s="2" t="s">
        <v>69</v>
      </c>
      <c r="C239" s="2">
        <v>21070</v>
      </c>
      <c r="G239" t="str">
        <f t="shared" si="3"/>
        <v xml:space="preserve"> Baltimore</v>
      </c>
    </row>
    <row r="240" spans="1:7" x14ac:dyDescent="0.2">
      <c r="A240" s="1">
        <v>24510271600</v>
      </c>
      <c r="B240" s="2" t="s">
        <v>116</v>
      </c>
      <c r="C240" s="2">
        <v>21061</v>
      </c>
      <c r="G240" t="str">
        <f t="shared" si="3"/>
        <v xml:space="preserve"> Baltimore</v>
      </c>
    </row>
    <row r="241" spans="1:7" x14ac:dyDescent="0.2">
      <c r="A241" s="1">
        <v>24510120400</v>
      </c>
      <c r="B241" s="2" t="s">
        <v>120</v>
      </c>
      <c r="C241" s="2">
        <v>21031</v>
      </c>
      <c r="G241" t="str">
        <f t="shared" si="3"/>
        <v xml:space="preserve"> Baltimore</v>
      </c>
    </row>
    <row r="242" spans="1:7" x14ac:dyDescent="0.2">
      <c r="A242" s="1">
        <v>24510200702</v>
      </c>
      <c r="B242" s="2" t="s">
        <v>100</v>
      </c>
      <c r="C242" s="2">
        <v>21015</v>
      </c>
      <c r="G242" t="str">
        <f t="shared" si="3"/>
        <v xml:space="preserve"> Baltimore</v>
      </c>
    </row>
    <row r="243" spans="1:7" x14ac:dyDescent="0.2">
      <c r="A243" s="1">
        <v>24510270701</v>
      </c>
      <c r="B243" s="2" t="s">
        <v>36</v>
      </c>
      <c r="C243" s="2">
        <v>21003</v>
      </c>
      <c r="G243" t="str">
        <f t="shared" si="3"/>
        <v xml:space="preserve"> Baltimore</v>
      </c>
    </row>
    <row r="244" spans="1:7" x14ac:dyDescent="0.2">
      <c r="A244" s="1">
        <v>24510240300</v>
      </c>
      <c r="B244" s="2" t="s">
        <v>19</v>
      </c>
      <c r="C244" s="2">
        <v>20985</v>
      </c>
      <c r="G244" t="str">
        <f t="shared" si="3"/>
        <v xml:space="preserve"> Baltimore</v>
      </c>
    </row>
    <row r="245" spans="1:7" x14ac:dyDescent="0.2">
      <c r="A245" s="1">
        <v>24510080500</v>
      </c>
      <c r="B245" s="2" t="s">
        <v>101</v>
      </c>
      <c r="C245" s="2">
        <v>20931</v>
      </c>
      <c r="G245" t="str">
        <f t="shared" si="3"/>
        <v xml:space="preserve"> Baltimore</v>
      </c>
    </row>
    <row r="246" spans="1:7" x14ac:dyDescent="0.2">
      <c r="A246" s="1">
        <v>24510080302</v>
      </c>
      <c r="B246" s="2" t="s">
        <v>113</v>
      </c>
      <c r="C246" s="2">
        <v>20921</v>
      </c>
      <c r="G246" t="str">
        <f t="shared" si="3"/>
        <v xml:space="preserve"> Baltimore</v>
      </c>
    </row>
    <row r="247" spans="1:7" x14ac:dyDescent="0.2">
      <c r="A247" s="1">
        <v>24510130400</v>
      </c>
      <c r="B247" s="2" t="s">
        <v>98</v>
      </c>
      <c r="C247" s="2">
        <v>20784</v>
      </c>
      <c r="G247" t="str">
        <f t="shared" si="3"/>
        <v xml:space="preserve"> Baltimore</v>
      </c>
    </row>
    <row r="248" spans="1:7" x14ac:dyDescent="0.2">
      <c r="A248" s="1">
        <v>24510120300</v>
      </c>
      <c r="B248" s="2" t="s">
        <v>107</v>
      </c>
      <c r="C248" s="2">
        <v>20647</v>
      </c>
      <c r="G248" t="str">
        <f t="shared" si="3"/>
        <v xml:space="preserve"> Baltimore</v>
      </c>
    </row>
    <row r="249" spans="1:7" hidden="1" x14ac:dyDescent="0.2">
      <c r="A249" s="1">
        <v>24510060200</v>
      </c>
      <c r="B249" s="2" t="s">
        <v>3</v>
      </c>
      <c r="C249" s="2">
        <v>20581</v>
      </c>
      <c r="G249" t="e">
        <f t="shared" si="3"/>
        <v>#VALUE!</v>
      </c>
    </row>
    <row r="250" spans="1:7" x14ac:dyDescent="0.2">
      <c r="A250" s="1">
        <v>24510090600</v>
      </c>
      <c r="B250" s="2" t="s">
        <v>112</v>
      </c>
      <c r="C250" s="2">
        <v>20409</v>
      </c>
      <c r="G250" t="str">
        <f t="shared" si="3"/>
        <v xml:space="preserve"> Baltimore</v>
      </c>
    </row>
    <row r="251" spans="1:7" x14ac:dyDescent="0.2">
      <c r="A251" s="1">
        <v>24510261000</v>
      </c>
      <c r="B251" s="2" t="s">
        <v>65</v>
      </c>
      <c r="C251" s="2">
        <v>20252</v>
      </c>
      <c r="G251" t="str">
        <f t="shared" si="3"/>
        <v xml:space="preserve"> Baltimore</v>
      </c>
    </row>
    <row r="252" spans="1:7" x14ac:dyDescent="0.2">
      <c r="A252" s="1">
        <v>24510130200</v>
      </c>
      <c r="B252" s="2" t="s">
        <v>117</v>
      </c>
      <c r="C252" s="2">
        <v>20187</v>
      </c>
      <c r="G252" t="str">
        <f t="shared" si="3"/>
        <v xml:space="preserve"> Baltimore</v>
      </c>
    </row>
    <row r="253" spans="1:7" x14ac:dyDescent="0.2">
      <c r="A253" s="1">
        <v>24510250203</v>
      </c>
      <c r="B253" s="2" t="s">
        <v>110</v>
      </c>
      <c r="C253" s="2">
        <v>20019</v>
      </c>
      <c r="G253" t="str">
        <f t="shared" si="3"/>
        <v xml:space="preserve"> Baltimore</v>
      </c>
    </row>
    <row r="254" spans="1:7" x14ac:dyDescent="0.2">
      <c r="A254" s="1">
        <v>24510151300</v>
      </c>
      <c r="B254" s="2" t="s">
        <v>97</v>
      </c>
      <c r="C254" s="2">
        <v>19963</v>
      </c>
      <c r="G254" t="str">
        <f t="shared" si="3"/>
        <v xml:space="preserve"> Baltimore</v>
      </c>
    </row>
    <row r="255" spans="1:7" x14ac:dyDescent="0.2">
      <c r="A255" s="1">
        <v>24510080600</v>
      </c>
      <c r="B255" s="2" t="s">
        <v>123</v>
      </c>
      <c r="C255" s="2">
        <v>19946</v>
      </c>
      <c r="G255" t="str">
        <f t="shared" si="3"/>
        <v xml:space="preserve"> Baltimore</v>
      </c>
    </row>
    <row r="256" spans="1:7" hidden="1" x14ac:dyDescent="0.2">
      <c r="A256" s="1">
        <v>24510200600</v>
      </c>
      <c r="B256" s="2" t="s">
        <v>3</v>
      </c>
      <c r="C256" s="2">
        <v>19912</v>
      </c>
      <c r="G256" t="e">
        <f t="shared" si="3"/>
        <v>#VALUE!</v>
      </c>
    </row>
    <row r="257" spans="1:7" hidden="1" x14ac:dyDescent="0.2">
      <c r="A257" s="1">
        <v>24510271001</v>
      </c>
      <c r="B257" s="2" t="s">
        <v>3</v>
      </c>
      <c r="C257" s="2">
        <v>19798</v>
      </c>
      <c r="G257" t="e">
        <f t="shared" si="3"/>
        <v>#VALUE!</v>
      </c>
    </row>
    <row r="258" spans="1:7" x14ac:dyDescent="0.2">
      <c r="A258" s="1">
        <v>24510150300</v>
      </c>
      <c r="B258" s="2" t="s">
        <v>106</v>
      </c>
      <c r="C258" s="2">
        <v>19755</v>
      </c>
      <c r="G258" t="str">
        <f t="shared" si="3"/>
        <v xml:space="preserve"> Baltimore</v>
      </c>
    </row>
    <row r="259" spans="1:7" x14ac:dyDescent="0.2">
      <c r="A259" s="1">
        <v>24510060300</v>
      </c>
      <c r="B259" s="2" t="s">
        <v>122</v>
      </c>
      <c r="C259" s="2">
        <v>19672</v>
      </c>
      <c r="G259" t="str">
        <f t="shared" ref="G259:G321" si="4">MID($B259, FIND(",",$B259)+1, FIND(",",$B259,FIND(",",$B259)+1) -1 -FIND(",",$B259))</f>
        <v xml:space="preserve"> Baltimore</v>
      </c>
    </row>
    <row r="260" spans="1:7" x14ac:dyDescent="0.2">
      <c r="A260" s="1">
        <v>24510110100</v>
      </c>
      <c r="B260" s="2" t="s">
        <v>58</v>
      </c>
      <c r="C260" s="2">
        <v>19623</v>
      </c>
      <c r="G260" t="str">
        <f t="shared" si="4"/>
        <v xml:space="preserve"> Baltimore</v>
      </c>
    </row>
    <row r="261" spans="1:7" x14ac:dyDescent="0.2">
      <c r="A261" s="1">
        <v>24510160400</v>
      </c>
      <c r="B261" s="2" t="s">
        <v>132</v>
      </c>
      <c r="C261" s="2">
        <v>19575</v>
      </c>
      <c r="G261" t="str">
        <f t="shared" si="4"/>
        <v xml:space="preserve"> Baltimore</v>
      </c>
    </row>
    <row r="262" spans="1:7" x14ac:dyDescent="0.2">
      <c r="A262" s="1">
        <v>24510160700</v>
      </c>
      <c r="B262" s="2" t="s">
        <v>114</v>
      </c>
      <c r="C262" s="2">
        <v>19546</v>
      </c>
      <c r="G262" t="str">
        <f t="shared" si="4"/>
        <v xml:space="preserve"> Baltimore</v>
      </c>
    </row>
    <row r="263" spans="1:7" x14ac:dyDescent="0.2">
      <c r="A263" s="1">
        <v>24510120700</v>
      </c>
      <c r="B263" s="2" t="s">
        <v>87</v>
      </c>
      <c r="C263" s="2">
        <v>19475</v>
      </c>
      <c r="G263" t="str">
        <f t="shared" si="4"/>
        <v xml:space="preserve"> Baltimore</v>
      </c>
    </row>
    <row r="264" spans="1:7" x14ac:dyDescent="0.2">
      <c r="A264" s="1">
        <v>24510271802</v>
      </c>
      <c r="B264" s="2" t="s">
        <v>121</v>
      </c>
      <c r="C264" s="2">
        <v>19455</v>
      </c>
      <c r="G264" t="str">
        <f t="shared" si="4"/>
        <v xml:space="preserve"> Baltimore</v>
      </c>
    </row>
    <row r="265" spans="1:7" x14ac:dyDescent="0.2">
      <c r="A265" s="1">
        <v>24510120600</v>
      </c>
      <c r="B265" s="2" t="s">
        <v>99</v>
      </c>
      <c r="C265" s="2">
        <v>19414</v>
      </c>
      <c r="G265" t="str">
        <f t="shared" si="4"/>
        <v xml:space="preserve"> Baltimore</v>
      </c>
    </row>
    <row r="266" spans="1:7" x14ac:dyDescent="0.2">
      <c r="A266" s="1">
        <v>24510130300</v>
      </c>
      <c r="B266" s="2" t="s">
        <v>124</v>
      </c>
      <c r="C266" s="2">
        <v>19321</v>
      </c>
      <c r="G266" t="str">
        <f t="shared" si="4"/>
        <v xml:space="preserve"> Baltimore</v>
      </c>
    </row>
    <row r="267" spans="1:7" x14ac:dyDescent="0.2">
      <c r="A267" s="1">
        <v>24510080400</v>
      </c>
      <c r="B267" s="2" t="s">
        <v>123</v>
      </c>
      <c r="C267" s="2">
        <v>19277</v>
      </c>
      <c r="G267" t="str">
        <f t="shared" si="4"/>
        <v xml:space="preserve"> Baltimore</v>
      </c>
    </row>
    <row r="268" spans="1:7" x14ac:dyDescent="0.2">
      <c r="A268" s="1">
        <v>24510260404</v>
      </c>
      <c r="B268" s="2" t="s">
        <v>68</v>
      </c>
      <c r="C268" s="2">
        <v>19267</v>
      </c>
      <c r="G268" t="str">
        <f t="shared" si="4"/>
        <v xml:space="preserve"> Baltimore</v>
      </c>
    </row>
    <row r="269" spans="1:7" x14ac:dyDescent="0.2">
      <c r="A269" s="1">
        <v>24510160200</v>
      </c>
      <c r="B269" s="2" t="s">
        <v>127</v>
      </c>
      <c r="C269" s="2">
        <v>19207</v>
      </c>
      <c r="G269" t="str">
        <f t="shared" si="4"/>
        <v xml:space="preserve"> Baltimore</v>
      </c>
    </row>
    <row r="270" spans="1:7" x14ac:dyDescent="0.2">
      <c r="A270" s="1">
        <v>24510150200</v>
      </c>
      <c r="B270" s="2" t="s">
        <v>127</v>
      </c>
      <c r="C270" s="2">
        <v>19198</v>
      </c>
      <c r="G270" t="str">
        <f t="shared" si="4"/>
        <v xml:space="preserve"> Baltimore</v>
      </c>
    </row>
    <row r="271" spans="1:7" x14ac:dyDescent="0.2">
      <c r="A271" s="1">
        <v>24510180300</v>
      </c>
      <c r="B271" s="2" t="s">
        <v>108</v>
      </c>
      <c r="C271" s="2">
        <v>19083</v>
      </c>
      <c r="G271" t="str">
        <f t="shared" si="4"/>
        <v xml:space="preserve"> Baltimore</v>
      </c>
    </row>
    <row r="272" spans="1:7" x14ac:dyDescent="0.2">
      <c r="A272" s="1">
        <v>24510160300</v>
      </c>
      <c r="B272" s="2" t="s">
        <v>127</v>
      </c>
      <c r="C272" s="2">
        <v>18970</v>
      </c>
      <c r="G272" t="str">
        <f t="shared" si="4"/>
        <v xml:space="preserve"> Baltimore</v>
      </c>
    </row>
    <row r="273" spans="1:7" hidden="1" x14ac:dyDescent="0.2">
      <c r="A273" s="1">
        <v>24510060400</v>
      </c>
      <c r="B273" s="2" t="s">
        <v>3</v>
      </c>
      <c r="C273" s="2">
        <v>18938</v>
      </c>
      <c r="G273" t="e">
        <f t="shared" si="4"/>
        <v>#VALUE!</v>
      </c>
    </row>
    <row r="274" spans="1:7" x14ac:dyDescent="0.2">
      <c r="A274" s="1">
        <v>24510150600</v>
      </c>
      <c r="B274" s="2" t="s">
        <v>128</v>
      </c>
      <c r="C274" s="2">
        <v>18863</v>
      </c>
      <c r="G274" t="str">
        <f t="shared" si="4"/>
        <v xml:space="preserve"> Baltimore</v>
      </c>
    </row>
    <row r="275" spans="1:7" x14ac:dyDescent="0.2">
      <c r="A275" s="1">
        <v>24510210200</v>
      </c>
      <c r="B275" s="2" t="s">
        <v>86</v>
      </c>
      <c r="C275" s="2">
        <v>18843</v>
      </c>
      <c r="G275" t="str">
        <f t="shared" si="4"/>
        <v xml:space="preserve"> Baltimore</v>
      </c>
    </row>
    <row r="276" spans="1:7" x14ac:dyDescent="0.2">
      <c r="A276" s="1">
        <v>24510120500</v>
      </c>
      <c r="B276" s="2" t="s">
        <v>119</v>
      </c>
      <c r="C276" s="2">
        <v>18824</v>
      </c>
      <c r="G276" t="str">
        <f t="shared" si="4"/>
        <v xml:space="preserve"> Baltimore</v>
      </c>
    </row>
    <row r="277" spans="1:7" x14ac:dyDescent="0.2">
      <c r="A277" s="1">
        <v>24510150400</v>
      </c>
      <c r="B277" s="2" t="s">
        <v>125</v>
      </c>
      <c r="C277" s="2">
        <v>18821</v>
      </c>
      <c r="G277" t="str">
        <f t="shared" si="4"/>
        <v xml:space="preserve"> Baltimore</v>
      </c>
    </row>
    <row r="278" spans="1:7" x14ac:dyDescent="0.2">
      <c r="A278" s="1">
        <v>24510250402</v>
      </c>
      <c r="B278" s="2" t="s">
        <v>47</v>
      </c>
      <c r="C278" s="2">
        <v>18786</v>
      </c>
      <c r="G278" t="str">
        <f t="shared" si="4"/>
        <v xml:space="preserve"> Baltimore</v>
      </c>
    </row>
    <row r="279" spans="1:7" x14ac:dyDescent="0.2">
      <c r="A279" s="1">
        <v>24510030100</v>
      </c>
      <c r="B279" s="2" t="s">
        <v>131</v>
      </c>
      <c r="C279" s="2">
        <v>18742</v>
      </c>
      <c r="G279" t="str">
        <f t="shared" si="4"/>
        <v xml:space="preserve"> Baltimore</v>
      </c>
    </row>
    <row r="280" spans="1:7" x14ac:dyDescent="0.2">
      <c r="A280" s="1">
        <v>24510070400</v>
      </c>
      <c r="B280" s="2" t="s">
        <v>137</v>
      </c>
      <c r="C280" s="2">
        <v>18694</v>
      </c>
      <c r="G280" t="str">
        <f t="shared" si="4"/>
        <v xml:space="preserve"> Baltimore</v>
      </c>
    </row>
    <row r="281" spans="1:7" x14ac:dyDescent="0.2">
      <c r="A281" s="1">
        <v>24510070200</v>
      </c>
      <c r="B281" s="2" t="s">
        <v>130</v>
      </c>
      <c r="C281" s="2">
        <v>18511</v>
      </c>
      <c r="G281" t="str">
        <f t="shared" si="4"/>
        <v xml:space="preserve"> Baltimore</v>
      </c>
    </row>
    <row r="282" spans="1:7" x14ac:dyDescent="0.2">
      <c r="A282" s="1">
        <v>24510140200</v>
      </c>
      <c r="B282" s="2" t="s">
        <v>136</v>
      </c>
      <c r="C282" s="2">
        <v>18504</v>
      </c>
      <c r="G282" t="str">
        <f t="shared" si="4"/>
        <v xml:space="preserve"> Baltimore</v>
      </c>
    </row>
    <row r="283" spans="1:7" x14ac:dyDescent="0.2">
      <c r="A283" s="1">
        <v>24510200200</v>
      </c>
      <c r="B283" s="2" t="s">
        <v>115</v>
      </c>
      <c r="C283" s="2">
        <v>18492</v>
      </c>
      <c r="G283" t="str">
        <f t="shared" si="4"/>
        <v xml:space="preserve"> Baltimore</v>
      </c>
    </row>
    <row r="284" spans="1:7" x14ac:dyDescent="0.2">
      <c r="A284" s="1">
        <v>24510090800</v>
      </c>
      <c r="B284" s="2" t="s">
        <v>134</v>
      </c>
      <c r="C284" s="2">
        <v>18484</v>
      </c>
      <c r="G284" t="str">
        <f t="shared" si="4"/>
        <v xml:space="preserve"> Baltimore</v>
      </c>
    </row>
    <row r="285" spans="1:7" x14ac:dyDescent="0.2">
      <c r="A285" s="1">
        <v>24510160100</v>
      </c>
      <c r="B285" s="2" t="s">
        <v>126</v>
      </c>
      <c r="C285" s="2">
        <v>18483</v>
      </c>
      <c r="G285" t="str">
        <f t="shared" si="4"/>
        <v xml:space="preserve"> Baltimore</v>
      </c>
    </row>
    <row r="286" spans="1:7" x14ac:dyDescent="0.2">
      <c r="A286" s="1">
        <v>24510080301</v>
      </c>
      <c r="B286" s="2" t="s">
        <v>113</v>
      </c>
      <c r="C286" s="2">
        <v>18460</v>
      </c>
      <c r="G286" t="str">
        <f t="shared" si="4"/>
        <v xml:space="preserve"> Baltimore</v>
      </c>
    </row>
    <row r="287" spans="1:7" x14ac:dyDescent="0.2">
      <c r="A287" s="1">
        <v>24510250500</v>
      </c>
      <c r="B287" s="2" t="s">
        <v>90</v>
      </c>
      <c r="C287" s="2">
        <v>18416</v>
      </c>
      <c r="G287" t="str">
        <f t="shared" si="4"/>
        <v xml:space="preserve"> Baltimore</v>
      </c>
    </row>
    <row r="288" spans="1:7" x14ac:dyDescent="0.2">
      <c r="A288" s="1">
        <v>24510230300</v>
      </c>
      <c r="B288" s="2" t="s">
        <v>54</v>
      </c>
      <c r="C288" s="2">
        <v>18388</v>
      </c>
      <c r="G288" t="str">
        <f t="shared" si="4"/>
        <v xml:space="preserve"> Baltimore</v>
      </c>
    </row>
    <row r="289" spans="1:7" x14ac:dyDescent="0.2">
      <c r="A289" s="1">
        <v>24510090900</v>
      </c>
      <c r="B289" s="2" t="s">
        <v>139</v>
      </c>
      <c r="C289" s="2">
        <v>18262</v>
      </c>
      <c r="G289" t="str">
        <f t="shared" si="4"/>
        <v xml:space="preserve"> Baltimore</v>
      </c>
    </row>
    <row r="290" spans="1:7" hidden="1" x14ac:dyDescent="0.2">
      <c r="A290" s="1">
        <v>24510230100</v>
      </c>
      <c r="B290" s="2" t="s">
        <v>3</v>
      </c>
      <c r="C290" s="2">
        <v>18182</v>
      </c>
      <c r="G290" t="e">
        <f t="shared" si="4"/>
        <v>#VALUE!</v>
      </c>
    </row>
    <row r="291" spans="1:7" x14ac:dyDescent="0.2">
      <c r="A291" s="1">
        <v>24510080200</v>
      </c>
      <c r="B291" s="2" t="s">
        <v>123</v>
      </c>
      <c r="C291" s="2">
        <v>18131</v>
      </c>
      <c r="G291" t="str">
        <f t="shared" si="4"/>
        <v xml:space="preserve"> Baltimore</v>
      </c>
    </row>
    <row r="292" spans="1:7" x14ac:dyDescent="0.2">
      <c r="A292" s="1">
        <v>24510170200</v>
      </c>
      <c r="B292" s="2" t="s">
        <v>141</v>
      </c>
      <c r="C292" s="2">
        <v>17947</v>
      </c>
      <c r="G292" t="str">
        <f t="shared" si="4"/>
        <v xml:space="preserve"> Baltimore</v>
      </c>
    </row>
    <row r="293" spans="1:7" x14ac:dyDescent="0.2">
      <c r="A293" s="1">
        <v>24510080700</v>
      </c>
      <c r="B293" s="2" t="s">
        <v>123</v>
      </c>
      <c r="C293" s="2">
        <v>17786</v>
      </c>
      <c r="G293" t="str">
        <f t="shared" si="4"/>
        <v xml:space="preserve"> Baltimore</v>
      </c>
    </row>
    <row r="294" spans="1:7" x14ac:dyDescent="0.2">
      <c r="A294" s="1">
        <v>24510280500</v>
      </c>
      <c r="B294" s="2" t="s">
        <v>144</v>
      </c>
      <c r="C294" s="2">
        <v>17719</v>
      </c>
      <c r="G294" t="str">
        <f t="shared" si="4"/>
        <v xml:space="preserve"> Baltimore</v>
      </c>
    </row>
    <row r="295" spans="1:7" x14ac:dyDescent="0.2">
      <c r="A295" s="1">
        <v>24510100100</v>
      </c>
      <c r="B295" s="2" t="s">
        <v>147</v>
      </c>
      <c r="C295" s="2">
        <v>17684</v>
      </c>
      <c r="G295" t="str">
        <f t="shared" si="4"/>
        <v xml:space="preserve"> Baltimore</v>
      </c>
    </row>
    <row r="296" spans="1:7" x14ac:dyDescent="0.2">
      <c r="A296" s="1">
        <v>24510250600</v>
      </c>
      <c r="B296" s="2" t="s">
        <v>47</v>
      </c>
      <c r="C296" s="2">
        <v>17457</v>
      </c>
      <c r="G296" t="str">
        <f t="shared" si="4"/>
        <v xml:space="preserve"> Baltimore</v>
      </c>
    </row>
    <row r="297" spans="1:7" x14ac:dyDescent="0.2">
      <c r="A297" s="1">
        <v>24510250301</v>
      </c>
      <c r="B297" s="2" t="s">
        <v>140</v>
      </c>
      <c r="C297" s="2">
        <v>17370</v>
      </c>
      <c r="G297" t="str">
        <f t="shared" si="4"/>
        <v xml:space="preserve"> Baltimore</v>
      </c>
    </row>
    <row r="298" spans="1:7" x14ac:dyDescent="0.2">
      <c r="A298" s="1">
        <v>24510260604</v>
      </c>
      <c r="B298" s="2" t="s">
        <v>135</v>
      </c>
      <c r="C298" s="2">
        <v>17340</v>
      </c>
      <c r="G298" t="str">
        <f t="shared" si="4"/>
        <v xml:space="preserve"> Baltimore</v>
      </c>
    </row>
    <row r="299" spans="1:7" x14ac:dyDescent="0.2">
      <c r="A299" s="1">
        <v>24510170300</v>
      </c>
      <c r="B299" s="2" t="s">
        <v>136</v>
      </c>
      <c r="C299" s="2">
        <v>17127</v>
      </c>
      <c r="G299" t="str">
        <f t="shared" si="4"/>
        <v xml:space="preserve"> Baltimore</v>
      </c>
    </row>
    <row r="300" spans="1:7" x14ac:dyDescent="0.2">
      <c r="A300" s="1">
        <v>24510260303</v>
      </c>
      <c r="B300" s="2" t="s">
        <v>142</v>
      </c>
      <c r="C300" s="2">
        <v>17118</v>
      </c>
      <c r="G300" t="str">
        <f t="shared" si="4"/>
        <v xml:space="preserve"> Baltimore</v>
      </c>
    </row>
    <row r="301" spans="1:7" hidden="1" x14ac:dyDescent="0.2">
      <c r="A301" s="1">
        <v>24510100200</v>
      </c>
      <c r="B301" s="2" t="s">
        <v>3</v>
      </c>
      <c r="C301" s="2">
        <v>17082</v>
      </c>
      <c r="G301" t="e">
        <f t="shared" si="4"/>
        <v>#VALUE!</v>
      </c>
    </row>
    <row r="302" spans="1:7" x14ac:dyDescent="0.2">
      <c r="A302" s="1">
        <v>24510150100</v>
      </c>
      <c r="B302" s="2" t="s">
        <v>127</v>
      </c>
      <c r="C302" s="2">
        <v>16983</v>
      </c>
      <c r="G302" t="str">
        <f t="shared" si="4"/>
        <v xml:space="preserve"> Baltimore</v>
      </c>
    </row>
    <row r="303" spans="1:7" x14ac:dyDescent="0.2">
      <c r="A303" s="1">
        <v>24510190100</v>
      </c>
      <c r="B303" s="2" t="s">
        <v>145</v>
      </c>
      <c r="C303" s="2">
        <v>16972</v>
      </c>
      <c r="G303" t="str">
        <f t="shared" si="4"/>
        <v xml:space="preserve"> Baltimore</v>
      </c>
    </row>
    <row r="304" spans="1:7" x14ac:dyDescent="0.2">
      <c r="A304" s="1">
        <v>24510040200</v>
      </c>
      <c r="B304" s="2" t="s">
        <v>58</v>
      </c>
      <c r="C304" s="2">
        <v>16877</v>
      </c>
      <c r="G304" t="str">
        <f t="shared" si="4"/>
        <v xml:space="preserve"> Baltimore</v>
      </c>
    </row>
    <row r="305" spans="1:7" x14ac:dyDescent="0.2">
      <c r="A305" s="1">
        <v>24510140300</v>
      </c>
      <c r="B305" s="2" t="s">
        <v>143</v>
      </c>
      <c r="C305" s="2">
        <v>16874</v>
      </c>
      <c r="G305" t="str">
        <f t="shared" si="4"/>
        <v xml:space="preserve"> Baltimore</v>
      </c>
    </row>
    <row r="306" spans="1:7" x14ac:dyDescent="0.2">
      <c r="A306" s="1">
        <v>24510250204</v>
      </c>
      <c r="B306" s="2" t="s">
        <v>110</v>
      </c>
      <c r="C306" s="2">
        <v>16789</v>
      </c>
      <c r="G306" t="str">
        <f t="shared" si="4"/>
        <v xml:space="preserve"> Baltimore</v>
      </c>
    </row>
    <row r="307" spans="1:7" x14ac:dyDescent="0.2">
      <c r="A307" s="1">
        <v>24510060100</v>
      </c>
      <c r="B307" s="2" t="s">
        <v>65</v>
      </c>
      <c r="C307" s="2">
        <v>16727</v>
      </c>
      <c r="G307" t="str">
        <f t="shared" si="4"/>
        <v xml:space="preserve"> Baltimore</v>
      </c>
    </row>
    <row r="308" spans="1:7" x14ac:dyDescent="0.2">
      <c r="A308" s="1">
        <v>24510190200</v>
      </c>
      <c r="B308" s="2" t="s">
        <v>118</v>
      </c>
      <c r="C308" s="2">
        <v>16632</v>
      </c>
      <c r="G308" t="str">
        <f t="shared" si="4"/>
        <v xml:space="preserve"> Baltimore</v>
      </c>
    </row>
    <row r="309" spans="1:7" x14ac:dyDescent="0.2">
      <c r="A309" s="1">
        <v>24510200400</v>
      </c>
      <c r="B309" s="2" t="s">
        <v>146</v>
      </c>
      <c r="C309" s="2">
        <v>16603</v>
      </c>
      <c r="G309" t="str">
        <f t="shared" si="4"/>
        <v xml:space="preserve"> Baltimore</v>
      </c>
    </row>
    <row r="310" spans="1:7" x14ac:dyDescent="0.2">
      <c r="A310" s="1">
        <v>24510070300</v>
      </c>
      <c r="B310" s="2" t="s">
        <v>148</v>
      </c>
      <c r="C310" s="2">
        <v>16572</v>
      </c>
      <c r="G310" t="str">
        <f t="shared" si="4"/>
        <v xml:space="preserve"> Baltimore</v>
      </c>
    </row>
    <row r="311" spans="1:7" x14ac:dyDescent="0.2">
      <c r="A311" s="1">
        <v>24510210100</v>
      </c>
      <c r="B311" s="2" t="s">
        <v>86</v>
      </c>
      <c r="C311" s="2">
        <v>16182</v>
      </c>
      <c r="G311" t="str">
        <f t="shared" si="4"/>
        <v xml:space="preserve"> Baltimore</v>
      </c>
    </row>
    <row r="312" spans="1:7" x14ac:dyDescent="0.2">
      <c r="A312" s="1">
        <v>24510190300</v>
      </c>
      <c r="B312" s="2" t="s">
        <v>133</v>
      </c>
      <c r="C312" s="2">
        <v>16142</v>
      </c>
      <c r="G312" t="str">
        <f t="shared" si="4"/>
        <v xml:space="preserve"> Baltimore</v>
      </c>
    </row>
    <row r="313" spans="1:7" x14ac:dyDescent="0.2">
      <c r="A313" s="1">
        <v>24510130100</v>
      </c>
      <c r="B313" s="2" t="s">
        <v>117</v>
      </c>
      <c r="C313" s="2">
        <v>15921</v>
      </c>
      <c r="G313" t="str">
        <f t="shared" si="4"/>
        <v xml:space="preserve"> Baltimore</v>
      </c>
    </row>
    <row r="314" spans="1:7" x14ac:dyDescent="0.2">
      <c r="A314" s="1">
        <v>24510080800</v>
      </c>
      <c r="B314" s="2" t="s">
        <v>123</v>
      </c>
      <c r="C314" s="2">
        <v>15854</v>
      </c>
      <c r="G314" t="str">
        <f t="shared" si="4"/>
        <v xml:space="preserve"> Baltimore</v>
      </c>
    </row>
    <row r="315" spans="1:7" x14ac:dyDescent="0.2">
      <c r="A315" s="1">
        <v>24510200300</v>
      </c>
      <c r="B315" s="2" t="s">
        <v>138</v>
      </c>
      <c r="C315" s="2">
        <v>15614</v>
      </c>
      <c r="G315" t="str">
        <f t="shared" si="4"/>
        <v xml:space="preserve"> Baltimore</v>
      </c>
    </row>
    <row r="316" spans="1:7" x14ac:dyDescent="0.2">
      <c r="A316" s="1">
        <v>24510200500</v>
      </c>
      <c r="B316" s="2" t="s">
        <v>129</v>
      </c>
      <c r="C316" s="2">
        <v>14938</v>
      </c>
      <c r="G316" t="str">
        <f t="shared" si="4"/>
        <v xml:space="preserve"> Baltimore</v>
      </c>
    </row>
    <row r="317" spans="1:7" x14ac:dyDescent="0.2">
      <c r="A317" s="1">
        <v>24510180100</v>
      </c>
      <c r="B317" s="2" t="s">
        <v>102</v>
      </c>
      <c r="C317" s="2">
        <v>14365</v>
      </c>
      <c r="G317" t="str">
        <f t="shared" si="4"/>
        <v xml:space="preserve"> Baltimore</v>
      </c>
    </row>
    <row r="318" spans="1:7" hidden="1" x14ac:dyDescent="0.2">
      <c r="A318" s="1">
        <v>24005492500</v>
      </c>
      <c r="B318" s="2" t="s">
        <v>3</v>
      </c>
      <c r="C318" s="3"/>
      <c r="G318" t="e">
        <f t="shared" si="4"/>
        <v>#VALUE!</v>
      </c>
    </row>
    <row r="319" spans="1:7" hidden="1" x14ac:dyDescent="0.2">
      <c r="A319" s="1">
        <v>24005490605</v>
      </c>
      <c r="B319" s="2" t="s">
        <v>2</v>
      </c>
      <c r="C319" s="3"/>
      <c r="G319" t="e">
        <f t="shared" si="4"/>
        <v>#VALUE!</v>
      </c>
    </row>
    <row r="320" spans="1:7" hidden="1" x14ac:dyDescent="0.2">
      <c r="A320" s="1">
        <v>24005980200</v>
      </c>
      <c r="B320" s="2" t="s">
        <v>33</v>
      </c>
      <c r="C320" s="3"/>
      <c r="G320" t="str">
        <f t="shared" si="4"/>
        <v xml:space="preserve"> Halethorpe</v>
      </c>
    </row>
    <row r="321" spans="1:7" x14ac:dyDescent="0.2">
      <c r="A321" s="1">
        <v>24510100300</v>
      </c>
      <c r="B321" s="2" t="s">
        <v>150</v>
      </c>
      <c r="C321" s="3"/>
      <c r="G321" t="str">
        <f t="shared" si="4"/>
        <v xml:space="preserve"> Baltimore</v>
      </c>
    </row>
  </sheetData>
  <autoFilter ref="G2:G321" xr:uid="{00000000-0009-0000-0000-000003000000}">
    <filterColumn colId="0">
      <filters>
        <filter val="Baltimore"/>
      </filters>
    </filterColumn>
  </autoFilter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filterMode="1"/>
  <dimension ref="A1:G581"/>
  <sheetViews>
    <sheetView workbookViewId="0">
      <selection activeCell="B240" sqref="B240"/>
    </sheetView>
  </sheetViews>
  <sheetFormatPr baseColWidth="10" defaultRowHeight="16" x14ac:dyDescent="0.2"/>
  <cols>
    <col min="1" max="1" width="19.33203125" customWidth="1"/>
    <col min="2" max="2" width="34" customWidth="1"/>
    <col min="3" max="3" width="40.5" customWidth="1"/>
  </cols>
  <sheetData>
    <row r="1" spans="1:7" x14ac:dyDescent="0.2">
      <c r="A1" s="1" t="s">
        <v>0</v>
      </c>
      <c r="B1" s="1" t="s">
        <v>1</v>
      </c>
      <c r="C1" s="1" t="s">
        <v>368</v>
      </c>
    </row>
    <row r="2" spans="1:7" x14ac:dyDescent="0.2">
      <c r="A2" s="1">
        <v>42101038500</v>
      </c>
      <c r="B2" s="2" t="s">
        <v>283</v>
      </c>
      <c r="C2" s="2">
        <v>45780</v>
      </c>
      <c r="G2" t="str">
        <f>MID($B2, FIND(",",$B2)+1, FIND(",",$B2,FIND(",",$B2)+1) -1 -FIND(",",$B2))</f>
        <v xml:space="preserve"> Philadelphia</v>
      </c>
    </row>
    <row r="3" spans="1:7" hidden="1" x14ac:dyDescent="0.2">
      <c r="A3" s="1">
        <v>42091204600</v>
      </c>
      <c r="B3" s="2" t="s">
        <v>345</v>
      </c>
      <c r="C3" s="2">
        <v>45651</v>
      </c>
      <c r="G3" t="e">
        <f t="shared" ref="G3:G66" si="0">MID($B3, FIND(",",$B3)+1, FIND(",",$B3,FIND(",",$B3)+1) -1 -FIND(",",$B3))</f>
        <v>#VALUE!</v>
      </c>
    </row>
    <row r="4" spans="1:7" x14ac:dyDescent="0.2">
      <c r="A4" s="1">
        <v>42101038600</v>
      </c>
      <c r="B4" s="2" t="s">
        <v>283</v>
      </c>
      <c r="C4" s="2">
        <v>45428</v>
      </c>
      <c r="G4" t="str">
        <f t="shared" si="0"/>
        <v xml:space="preserve"> Philadelphia</v>
      </c>
    </row>
    <row r="5" spans="1:7" hidden="1" x14ac:dyDescent="0.2">
      <c r="A5" s="1">
        <v>42045407805</v>
      </c>
      <c r="B5" s="2" t="s">
        <v>348</v>
      </c>
      <c r="C5" s="2">
        <v>45192</v>
      </c>
      <c r="G5" t="e">
        <f t="shared" si="0"/>
        <v>#VALUE!</v>
      </c>
    </row>
    <row r="6" spans="1:7" x14ac:dyDescent="0.2">
      <c r="A6" s="1">
        <v>42101000803</v>
      </c>
      <c r="B6" s="2" t="s">
        <v>235</v>
      </c>
      <c r="C6" s="2">
        <v>45122</v>
      </c>
      <c r="G6" t="str">
        <f t="shared" si="0"/>
        <v xml:space="preserve"> Philadelphia</v>
      </c>
    </row>
    <row r="7" spans="1:7" hidden="1" x14ac:dyDescent="0.2">
      <c r="A7" s="1">
        <v>34007610600</v>
      </c>
      <c r="B7" s="2" t="s">
        <v>228</v>
      </c>
      <c r="C7" s="2">
        <v>45052</v>
      </c>
      <c r="G7" t="e">
        <f t="shared" si="0"/>
        <v>#VALUE!</v>
      </c>
    </row>
    <row r="8" spans="1:7" x14ac:dyDescent="0.2">
      <c r="A8" s="1">
        <v>42101013401</v>
      </c>
      <c r="B8" s="2" t="s">
        <v>172</v>
      </c>
      <c r="C8" s="2">
        <v>45019</v>
      </c>
      <c r="G8" t="str">
        <f t="shared" si="0"/>
        <v xml:space="preserve"> Philadelphia</v>
      </c>
    </row>
    <row r="9" spans="1:7" hidden="1" x14ac:dyDescent="0.2">
      <c r="A9" s="1">
        <v>34007606400</v>
      </c>
      <c r="B9" s="2" t="s">
        <v>321</v>
      </c>
      <c r="C9" s="2">
        <v>44886</v>
      </c>
      <c r="G9" t="e">
        <f t="shared" si="0"/>
        <v>#VALUE!</v>
      </c>
    </row>
    <row r="10" spans="1:7" hidden="1" x14ac:dyDescent="0.2">
      <c r="A10" s="1">
        <v>42091204500</v>
      </c>
      <c r="B10" s="2" t="s">
        <v>354</v>
      </c>
      <c r="C10" s="2">
        <v>44789</v>
      </c>
      <c r="G10" t="e">
        <f t="shared" si="0"/>
        <v>#VALUE!</v>
      </c>
    </row>
    <row r="11" spans="1:7" hidden="1" x14ac:dyDescent="0.2">
      <c r="A11" s="1">
        <v>42091205200</v>
      </c>
      <c r="B11" s="2" t="s">
        <v>335</v>
      </c>
      <c r="C11" s="2">
        <v>44423</v>
      </c>
      <c r="G11" t="e">
        <f t="shared" si="0"/>
        <v>#VALUE!</v>
      </c>
    </row>
    <row r="12" spans="1:7" x14ac:dyDescent="0.2">
      <c r="A12" s="1">
        <v>42101008801</v>
      </c>
      <c r="B12" s="2" t="s">
        <v>160</v>
      </c>
      <c r="C12" s="2">
        <v>44139</v>
      </c>
      <c r="G12" t="str">
        <f t="shared" si="0"/>
        <v xml:space="preserve"> Philadelphia</v>
      </c>
    </row>
    <row r="13" spans="1:7" x14ac:dyDescent="0.2">
      <c r="A13" s="1">
        <v>42101020600</v>
      </c>
      <c r="B13" s="2" t="s">
        <v>266</v>
      </c>
      <c r="C13" s="2">
        <v>44138</v>
      </c>
      <c r="G13" t="str">
        <f t="shared" si="0"/>
        <v xml:space="preserve"> Philadelphia</v>
      </c>
    </row>
    <row r="14" spans="1:7" hidden="1" x14ac:dyDescent="0.2">
      <c r="A14" s="1">
        <v>42091203105</v>
      </c>
      <c r="B14" s="2" t="s">
        <v>342</v>
      </c>
      <c r="C14" s="2">
        <v>43924</v>
      </c>
      <c r="G14" t="e">
        <f t="shared" si="0"/>
        <v>#VALUE!</v>
      </c>
    </row>
    <row r="15" spans="1:7" hidden="1" x14ac:dyDescent="0.2">
      <c r="A15" s="1">
        <v>42091205503</v>
      </c>
      <c r="B15" s="2" t="s">
        <v>352</v>
      </c>
      <c r="C15" s="2">
        <v>43589</v>
      </c>
      <c r="G15" t="str">
        <f t="shared" si="0"/>
        <v xml:space="preserve"> Wynnewood</v>
      </c>
    </row>
    <row r="16" spans="1:7" hidden="1" x14ac:dyDescent="0.2">
      <c r="A16" s="1">
        <v>34007603501</v>
      </c>
      <c r="B16" s="2" t="s">
        <v>339</v>
      </c>
      <c r="C16" s="2">
        <v>43177</v>
      </c>
      <c r="G16" t="str">
        <f t="shared" si="0"/>
        <v xml:space="preserve"> Cherry Hill</v>
      </c>
    </row>
    <row r="17" spans="1:7" hidden="1" x14ac:dyDescent="0.2">
      <c r="A17" s="1">
        <v>42045408400</v>
      </c>
      <c r="B17" s="2" t="s">
        <v>335</v>
      </c>
      <c r="C17" s="2">
        <v>43138</v>
      </c>
      <c r="G17" t="e">
        <f t="shared" si="0"/>
        <v>#VALUE!</v>
      </c>
    </row>
    <row r="18" spans="1:7" hidden="1" x14ac:dyDescent="0.2">
      <c r="A18" s="1">
        <v>34007603504</v>
      </c>
      <c r="B18" s="2" t="s">
        <v>290</v>
      </c>
      <c r="C18" s="2">
        <v>43122</v>
      </c>
      <c r="G18" t="e">
        <f t="shared" si="0"/>
        <v>#VALUE!</v>
      </c>
    </row>
    <row r="19" spans="1:7" hidden="1" x14ac:dyDescent="0.2">
      <c r="A19" s="1">
        <v>42091210300</v>
      </c>
      <c r="B19" s="2" t="s">
        <v>351</v>
      </c>
      <c r="C19" s="2">
        <v>42839</v>
      </c>
      <c r="G19" t="e">
        <f t="shared" si="0"/>
        <v>#VALUE!</v>
      </c>
    </row>
    <row r="20" spans="1:7" hidden="1" x14ac:dyDescent="0.2">
      <c r="A20" s="1">
        <v>42091210500</v>
      </c>
      <c r="B20" s="2" t="s">
        <v>349</v>
      </c>
      <c r="C20" s="2">
        <v>42816</v>
      </c>
      <c r="G20" t="e">
        <f t="shared" si="0"/>
        <v>#VALUE!</v>
      </c>
    </row>
    <row r="21" spans="1:7" hidden="1" x14ac:dyDescent="0.2">
      <c r="A21" s="1">
        <v>42091202301</v>
      </c>
      <c r="B21" s="2" t="s">
        <v>226</v>
      </c>
      <c r="C21" s="2">
        <v>42764</v>
      </c>
      <c r="G21" t="e">
        <f t="shared" si="0"/>
        <v>#VALUE!</v>
      </c>
    </row>
    <row r="22" spans="1:7" hidden="1" x14ac:dyDescent="0.2">
      <c r="A22" s="1">
        <v>42045408600</v>
      </c>
      <c r="B22" s="2" t="s">
        <v>336</v>
      </c>
      <c r="C22" s="2">
        <v>42730</v>
      </c>
      <c r="G22" t="e">
        <f t="shared" si="0"/>
        <v>#VALUE!</v>
      </c>
    </row>
    <row r="23" spans="1:7" hidden="1" x14ac:dyDescent="0.2">
      <c r="A23" s="1">
        <v>34007603602</v>
      </c>
      <c r="B23" s="2" t="s">
        <v>333</v>
      </c>
      <c r="C23" s="2">
        <v>42635</v>
      </c>
      <c r="G23" t="str">
        <f t="shared" si="0"/>
        <v xml:space="preserve"> Cherry Hill</v>
      </c>
    </row>
    <row r="24" spans="1:7" x14ac:dyDescent="0.2">
      <c r="A24" s="1">
        <v>42101001002</v>
      </c>
      <c r="B24" s="2" t="s">
        <v>235</v>
      </c>
      <c r="C24" s="2">
        <v>42375</v>
      </c>
      <c r="G24" t="str">
        <f t="shared" si="0"/>
        <v xml:space="preserve"> Philadelphia</v>
      </c>
    </row>
    <row r="25" spans="1:7" hidden="1" x14ac:dyDescent="0.2">
      <c r="A25" s="1">
        <v>42045400900</v>
      </c>
      <c r="B25" s="2" t="s">
        <v>265</v>
      </c>
      <c r="C25" s="2">
        <v>42365</v>
      </c>
      <c r="G25" t="str">
        <f t="shared" si="0"/>
        <v xml:space="preserve"> Upper Darby</v>
      </c>
    </row>
    <row r="26" spans="1:7" x14ac:dyDescent="0.2">
      <c r="A26" s="1">
        <v>42101001001</v>
      </c>
      <c r="B26" s="2" t="s">
        <v>235</v>
      </c>
      <c r="C26" s="2">
        <v>42343</v>
      </c>
      <c r="G26" t="str">
        <f t="shared" si="0"/>
        <v xml:space="preserve"> Philadelphia</v>
      </c>
    </row>
    <row r="27" spans="1:7" x14ac:dyDescent="0.2">
      <c r="A27" s="1">
        <v>42101001102</v>
      </c>
      <c r="B27" s="2" t="s">
        <v>235</v>
      </c>
      <c r="C27" s="2">
        <v>42067</v>
      </c>
      <c r="G27" t="str">
        <f t="shared" si="0"/>
        <v xml:space="preserve"> Philadelphia</v>
      </c>
    </row>
    <row r="28" spans="1:7" x14ac:dyDescent="0.2">
      <c r="A28" s="1">
        <v>42101036600</v>
      </c>
      <c r="B28" s="2" t="s">
        <v>235</v>
      </c>
      <c r="C28" s="2">
        <v>42033</v>
      </c>
      <c r="G28" t="str">
        <f t="shared" si="0"/>
        <v xml:space="preserve"> Philadelphia</v>
      </c>
    </row>
    <row r="29" spans="1:7" hidden="1" x14ac:dyDescent="0.2">
      <c r="A29" s="1">
        <v>42045401000</v>
      </c>
      <c r="B29" s="2" t="s">
        <v>265</v>
      </c>
      <c r="C29" s="2">
        <v>41819</v>
      </c>
      <c r="G29" t="str">
        <f t="shared" si="0"/>
        <v xml:space="preserve"> Upper Darby</v>
      </c>
    </row>
    <row r="30" spans="1:7" hidden="1" x14ac:dyDescent="0.2">
      <c r="A30" s="1">
        <v>42045401103</v>
      </c>
      <c r="B30" s="2" t="s">
        <v>265</v>
      </c>
      <c r="C30" s="2">
        <v>41792</v>
      </c>
      <c r="G30" t="str">
        <f t="shared" si="0"/>
        <v xml:space="preserve"> Upper Darby</v>
      </c>
    </row>
    <row r="31" spans="1:7" hidden="1" x14ac:dyDescent="0.2">
      <c r="A31" s="1">
        <v>42045407803</v>
      </c>
      <c r="B31" s="2" t="s">
        <v>348</v>
      </c>
      <c r="C31" s="2">
        <v>41773</v>
      </c>
      <c r="G31" t="e">
        <f t="shared" si="0"/>
        <v>#VALUE!</v>
      </c>
    </row>
    <row r="32" spans="1:7" hidden="1" x14ac:dyDescent="0.2">
      <c r="A32" s="1">
        <v>42045407804</v>
      </c>
      <c r="B32" s="2" t="s">
        <v>348</v>
      </c>
      <c r="C32" s="2">
        <v>41767</v>
      </c>
      <c r="G32" t="e">
        <f t="shared" si="0"/>
        <v>#VALUE!</v>
      </c>
    </row>
    <row r="33" spans="1:7" x14ac:dyDescent="0.2">
      <c r="A33" s="1">
        <v>42101023100</v>
      </c>
      <c r="B33" s="2" t="s">
        <v>283</v>
      </c>
      <c r="C33" s="2">
        <v>41763</v>
      </c>
      <c r="G33" t="str">
        <f t="shared" si="0"/>
        <v xml:space="preserve"> Philadelphia</v>
      </c>
    </row>
    <row r="34" spans="1:7" hidden="1" x14ac:dyDescent="0.2">
      <c r="A34" s="1">
        <v>42091204701</v>
      </c>
      <c r="B34" s="2" t="s">
        <v>345</v>
      </c>
      <c r="C34" s="2">
        <v>41685</v>
      </c>
      <c r="G34" t="e">
        <f t="shared" si="0"/>
        <v>#VALUE!</v>
      </c>
    </row>
    <row r="35" spans="1:7" hidden="1" x14ac:dyDescent="0.2">
      <c r="A35" s="1">
        <v>42045408300</v>
      </c>
      <c r="B35" s="2" t="s">
        <v>335</v>
      </c>
      <c r="C35" s="2">
        <v>41546</v>
      </c>
      <c r="G35" t="e">
        <f t="shared" si="0"/>
        <v>#VALUE!</v>
      </c>
    </row>
    <row r="36" spans="1:7" x14ac:dyDescent="0.2">
      <c r="A36" s="1">
        <v>42101034702</v>
      </c>
      <c r="B36" s="2" t="s">
        <v>155</v>
      </c>
      <c r="C36" s="2">
        <v>41499</v>
      </c>
      <c r="G36" t="str">
        <f t="shared" si="0"/>
        <v xml:space="preserve"> Philadelphia</v>
      </c>
    </row>
    <row r="37" spans="1:7" hidden="1" x14ac:dyDescent="0.2">
      <c r="A37" s="1">
        <v>42091205100</v>
      </c>
      <c r="B37" s="2" t="s">
        <v>296</v>
      </c>
      <c r="C37" s="2">
        <v>41468</v>
      </c>
      <c r="G37" t="e">
        <f t="shared" si="0"/>
        <v>#VALUE!</v>
      </c>
    </row>
    <row r="38" spans="1:7" hidden="1" x14ac:dyDescent="0.2">
      <c r="A38" s="1">
        <v>42091204702</v>
      </c>
      <c r="B38" s="2" t="s">
        <v>322</v>
      </c>
      <c r="C38" s="2">
        <v>41271</v>
      </c>
      <c r="G38" t="e">
        <f t="shared" si="0"/>
        <v>#VALUE!</v>
      </c>
    </row>
    <row r="39" spans="1:7" hidden="1" x14ac:dyDescent="0.2">
      <c r="A39" s="1">
        <v>42045401200</v>
      </c>
      <c r="B39" s="2" t="s">
        <v>265</v>
      </c>
      <c r="C39" s="2">
        <v>41175</v>
      </c>
      <c r="G39" t="str">
        <f t="shared" si="0"/>
        <v xml:space="preserve"> Upper Darby</v>
      </c>
    </row>
    <row r="40" spans="1:7" x14ac:dyDescent="0.2">
      <c r="A40" s="1">
        <v>42101013601</v>
      </c>
      <c r="B40" s="2" t="s">
        <v>172</v>
      </c>
      <c r="C40" s="2">
        <v>41135</v>
      </c>
      <c r="G40" t="str">
        <f t="shared" si="0"/>
        <v xml:space="preserve"> Philadelphia</v>
      </c>
    </row>
    <row r="41" spans="1:7" x14ac:dyDescent="0.2">
      <c r="A41" s="1">
        <v>42101038400</v>
      </c>
      <c r="B41" s="2" t="s">
        <v>158</v>
      </c>
      <c r="C41" s="2">
        <v>41024</v>
      </c>
      <c r="G41" t="str">
        <f t="shared" si="0"/>
        <v xml:space="preserve"> Philadelphia</v>
      </c>
    </row>
    <row r="42" spans="1:7" hidden="1" x14ac:dyDescent="0.2">
      <c r="A42" s="1">
        <v>42045409200</v>
      </c>
      <c r="B42" s="2" t="s">
        <v>336</v>
      </c>
      <c r="C42" s="2">
        <v>40934</v>
      </c>
      <c r="G42" t="e">
        <f t="shared" si="0"/>
        <v>#VALUE!</v>
      </c>
    </row>
    <row r="43" spans="1:7" hidden="1" x14ac:dyDescent="0.2">
      <c r="A43" s="1">
        <v>42091203104</v>
      </c>
      <c r="B43" s="2" t="s">
        <v>342</v>
      </c>
      <c r="C43" s="2">
        <v>40915</v>
      </c>
      <c r="G43" t="e">
        <f t="shared" si="0"/>
        <v>#VALUE!</v>
      </c>
    </row>
    <row r="44" spans="1:7" x14ac:dyDescent="0.2">
      <c r="A44" s="1">
        <v>42101001201</v>
      </c>
      <c r="B44" s="2" t="s">
        <v>235</v>
      </c>
      <c r="C44" s="2">
        <v>40747</v>
      </c>
      <c r="G44" t="str">
        <f t="shared" si="0"/>
        <v xml:space="preserve"> Philadelphia</v>
      </c>
    </row>
    <row r="45" spans="1:7" hidden="1" x14ac:dyDescent="0.2">
      <c r="A45" s="1">
        <v>42045408700</v>
      </c>
      <c r="B45" s="2" t="s">
        <v>336</v>
      </c>
      <c r="C45" s="2">
        <v>40670</v>
      </c>
      <c r="G45" t="e">
        <f t="shared" si="0"/>
        <v>#VALUE!</v>
      </c>
    </row>
    <row r="46" spans="1:7" hidden="1" x14ac:dyDescent="0.2">
      <c r="A46" s="1">
        <v>34005700305</v>
      </c>
      <c r="B46" s="2" t="s">
        <v>292</v>
      </c>
      <c r="C46" s="2">
        <v>40565</v>
      </c>
      <c r="G46" t="e">
        <f t="shared" si="0"/>
        <v>#VALUE!</v>
      </c>
    </row>
    <row r="47" spans="1:7" hidden="1" x14ac:dyDescent="0.2">
      <c r="A47" s="1">
        <v>42045407802</v>
      </c>
      <c r="B47" s="2" t="s">
        <v>348</v>
      </c>
      <c r="C47" s="2">
        <v>40476</v>
      </c>
      <c r="G47" t="e">
        <f t="shared" si="0"/>
        <v>#VALUE!</v>
      </c>
    </row>
    <row r="48" spans="1:7" hidden="1" x14ac:dyDescent="0.2">
      <c r="A48" s="1">
        <v>42091204400</v>
      </c>
      <c r="B48" s="2" t="s">
        <v>322</v>
      </c>
      <c r="C48" s="2">
        <v>40402</v>
      </c>
      <c r="G48" t="e">
        <f t="shared" si="0"/>
        <v>#VALUE!</v>
      </c>
    </row>
    <row r="49" spans="1:7" hidden="1" x14ac:dyDescent="0.2">
      <c r="A49" s="1">
        <v>34007603601</v>
      </c>
      <c r="B49" s="2" t="s">
        <v>323</v>
      </c>
      <c r="C49" s="2">
        <v>40331</v>
      </c>
      <c r="G49" t="str">
        <f t="shared" si="0"/>
        <v xml:space="preserve"> Cherry Hill</v>
      </c>
    </row>
    <row r="50" spans="1:7" x14ac:dyDescent="0.2">
      <c r="A50" s="1">
        <v>42101001202</v>
      </c>
      <c r="B50" s="2" t="s">
        <v>235</v>
      </c>
      <c r="C50" s="2">
        <v>40310</v>
      </c>
      <c r="G50" t="str">
        <f t="shared" si="0"/>
        <v xml:space="preserve"> Philadelphia</v>
      </c>
    </row>
    <row r="51" spans="1:7" hidden="1" x14ac:dyDescent="0.2">
      <c r="A51" s="1">
        <v>34005700200</v>
      </c>
      <c r="B51" s="2" t="s">
        <v>341</v>
      </c>
      <c r="C51" s="2">
        <v>40267</v>
      </c>
      <c r="G51" t="e">
        <f t="shared" si="0"/>
        <v>#VALUE!</v>
      </c>
    </row>
    <row r="52" spans="1:7" hidden="1" x14ac:dyDescent="0.2">
      <c r="A52" s="1">
        <v>34007603303</v>
      </c>
      <c r="B52" s="2" t="s">
        <v>305</v>
      </c>
      <c r="C52" s="2">
        <v>40179</v>
      </c>
      <c r="G52" t="str">
        <f t="shared" si="0"/>
        <v xml:space="preserve"> Cherry Hill</v>
      </c>
    </row>
    <row r="53" spans="1:7" hidden="1" x14ac:dyDescent="0.2">
      <c r="A53" s="1">
        <v>42045409400</v>
      </c>
      <c r="B53" s="2" t="s">
        <v>336</v>
      </c>
      <c r="C53" s="2">
        <v>40105</v>
      </c>
      <c r="G53" t="e">
        <f t="shared" si="0"/>
        <v>#VALUE!</v>
      </c>
    </row>
    <row r="54" spans="1:7" hidden="1" x14ac:dyDescent="0.2">
      <c r="A54" s="1">
        <v>42045408900</v>
      </c>
      <c r="B54" s="2" t="s">
        <v>336</v>
      </c>
      <c r="C54" s="2">
        <v>40062</v>
      </c>
      <c r="G54" t="e">
        <f t="shared" si="0"/>
        <v>#VALUE!</v>
      </c>
    </row>
    <row r="55" spans="1:7" hidden="1" x14ac:dyDescent="0.2">
      <c r="A55" s="1">
        <v>34007603400</v>
      </c>
      <c r="B55" s="2" t="s">
        <v>333</v>
      </c>
      <c r="C55" s="2">
        <v>39980</v>
      </c>
      <c r="G55" t="str">
        <f t="shared" si="0"/>
        <v xml:space="preserve"> Cherry Hill</v>
      </c>
    </row>
    <row r="56" spans="1:7" hidden="1" x14ac:dyDescent="0.2">
      <c r="A56" s="1">
        <v>42045409300</v>
      </c>
      <c r="B56" s="2" t="s">
        <v>336</v>
      </c>
      <c r="C56" s="2">
        <v>39959</v>
      </c>
      <c r="G56" t="e">
        <f t="shared" si="0"/>
        <v>#VALUE!</v>
      </c>
    </row>
    <row r="57" spans="1:7" hidden="1" x14ac:dyDescent="0.2">
      <c r="A57" s="1">
        <v>34007603800</v>
      </c>
      <c r="B57" s="2" t="s">
        <v>324</v>
      </c>
      <c r="C57" s="2">
        <v>39862</v>
      </c>
      <c r="G57" t="e">
        <f t="shared" si="0"/>
        <v>#VALUE!</v>
      </c>
    </row>
    <row r="58" spans="1:7" hidden="1" x14ac:dyDescent="0.2">
      <c r="A58" s="1">
        <v>42091202202</v>
      </c>
      <c r="B58" s="2" t="s">
        <v>274</v>
      </c>
      <c r="C58" s="2">
        <v>39814</v>
      </c>
      <c r="G58" t="e">
        <f t="shared" si="0"/>
        <v>#VALUE!</v>
      </c>
    </row>
    <row r="59" spans="1:7" hidden="1" x14ac:dyDescent="0.2">
      <c r="A59" s="1">
        <v>42045409000</v>
      </c>
      <c r="B59" s="2" t="s">
        <v>343</v>
      </c>
      <c r="C59" s="2">
        <v>39812</v>
      </c>
      <c r="G59" t="str">
        <f t="shared" si="0"/>
        <v xml:space="preserve"> Havertown</v>
      </c>
    </row>
    <row r="60" spans="1:7" x14ac:dyDescent="0.2">
      <c r="A60" s="1">
        <v>42101021800</v>
      </c>
      <c r="B60" s="2" t="s">
        <v>317</v>
      </c>
      <c r="C60" s="2">
        <v>39744</v>
      </c>
      <c r="G60" t="str">
        <f t="shared" si="0"/>
        <v xml:space="preserve"> Philadelphia</v>
      </c>
    </row>
    <row r="61" spans="1:7" hidden="1" x14ac:dyDescent="0.2">
      <c r="A61" s="1">
        <v>42045403902</v>
      </c>
      <c r="B61" s="2" t="s">
        <v>288</v>
      </c>
      <c r="C61" s="2">
        <v>39621</v>
      </c>
      <c r="G61" t="e">
        <f t="shared" si="0"/>
        <v>#VALUE!</v>
      </c>
    </row>
    <row r="62" spans="1:7" x14ac:dyDescent="0.2">
      <c r="A62" s="1">
        <v>42101013402</v>
      </c>
      <c r="B62" s="2" t="s">
        <v>172</v>
      </c>
      <c r="C62" s="2">
        <v>39514</v>
      </c>
      <c r="G62" t="str">
        <f t="shared" si="0"/>
        <v xml:space="preserve"> Philadelphia</v>
      </c>
    </row>
    <row r="63" spans="1:7" hidden="1" x14ac:dyDescent="0.2">
      <c r="A63" s="1">
        <v>34007605800</v>
      </c>
      <c r="B63" s="2" t="s">
        <v>340</v>
      </c>
      <c r="C63" s="2">
        <v>39502</v>
      </c>
      <c r="G63" t="e">
        <f t="shared" si="0"/>
        <v>#VALUE!</v>
      </c>
    </row>
    <row r="64" spans="1:7" hidden="1" x14ac:dyDescent="0.2">
      <c r="A64" s="1">
        <v>34007605900</v>
      </c>
      <c r="B64" s="2" t="s">
        <v>340</v>
      </c>
      <c r="C64" s="2">
        <v>39466</v>
      </c>
      <c r="G64" t="e">
        <f t="shared" si="0"/>
        <v>#VALUE!</v>
      </c>
    </row>
    <row r="65" spans="1:7" x14ac:dyDescent="0.2">
      <c r="A65" s="1">
        <v>42101022000</v>
      </c>
      <c r="B65" s="2" t="s">
        <v>158</v>
      </c>
      <c r="C65" s="2">
        <v>39445</v>
      </c>
      <c r="G65" t="str">
        <f t="shared" si="0"/>
        <v xml:space="preserve"> Philadelphia</v>
      </c>
    </row>
    <row r="66" spans="1:7" hidden="1" x14ac:dyDescent="0.2">
      <c r="A66" s="1">
        <v>42045408500</v>
      </c>
      <c r="B66" s="2" t="s">
        <v>336</v>
      </c>
      <c r="C66" s="2">
        <v>39269</v>
      </c>
      <c r="G66" t="e">
        <f t="shared" si="0"/>
        <v>#VALUE!</v>
      </c>
    </row>
    <row r="67" spans="1:7" hidden="1" x14ac:dyDescent="0.2">
      <c r="A67" s="1">
        <v>34007606000</v>
      </c>
      <c r="B67" s="2" t="s">
        <v>340</v>
      </c>
      <c r="C67" s="2">
        <v>39201</v>
      </c>
      <c r="G67" t="e">
        <f t="shared" ref="G67:G130" si="1">MID($B67, FIND(",",$B67)+1, FIND(",",$B67,FIND(",",$B67)+1) -1 -FIND(",",$B67))</f>
        <v>#VALUE!</v>
      </c>
    </row>
    <row r="68" spans="1:7" hidden="1" x14ac:dyDescent="0.2">
      <c r="A68" s="1">
        <v>42045409500</v>
      </c>
      <c r="B68" s="2" t="s">
        <v>343</v>
      </c>
      <c r="C68" s="2">
        <v>39133</v>
      </c>
      <c r="G68" t="str">
        <f t="shared" si="1"/>
        <v xml:space="preserve"> Havertown</v>
      </c>
    </row>
    <row r="69" spans="1:7" hidden="1" x14ac:dyDescent="0.2">
      <c r="A69" s="1">
        <v>34007607502</v>
      </c>
      <c r="B69" s="2" t="s">
        <v>295</v>
      </c>
      <c r="C69" s="2">
        <v>39118</v>
      </c>
      <c r="G69" t="str">
        <f t="shared" si="1"/>
        <v xml:space="preserve"> Voorhees Township</v>
      </c>
    </row>
    <row r="70" spans="1:7" hidden="1" x14ac:dyDescent="0.2">
      <c r="A70" s="1">
        <v>42045400802</v>
      </c>
      <c r="B70" s="2" t="s">
        <v>265</v>
      </c>
      <c r="C70" s="2">
        <v>39024</v>
      </c>
      <c r="G70" t="str">
        <f t="shared" si="1"/>
        <v xml:space="preserve"> Upper Darby</v>
      </c>
    </row>
    <row r="71" spans="1:7" hidden="1" x14ac:dyDescent="0.2">
      <c r="A71" s="1">
        <v>42091202000</v>
      </c>
      <c r="B71" s="2" t="s">
        <v>334</v>
      </c>
      <c r="C71" s="2">
        <v>38898</v>
      </c>
      <c r="G71" t="e">
        <f t="shared" si="1"/>
        <v>#VALUE!</v>
      </c>
    </row>
    <row r="72" spans="1:7" hidden="1" x14ac:dyDescent="0.2">
      <c r="A72" s="1">
        <v>42045408800</v>
      </c>
      <c r="B72" s="2" t="s">
        <v>245</v>
      </c>
      <c r="C72" s="2">
        <v>38832</v>
      </c>
      <c r="G72" t="e">
        <f t="shared" si="1"/>
        <v>#VALUE!</v>
      </c>
    </row>
    <row r="73" spans="1:7" hidden="1" x14ac:dyDescent="0.2">
      <c r="A73" s="1">
        <v>34007603901</v>
      </c>
      <c r="B73" s="2" t="s">
        <v>321</v>
      </c>
      <c r="C73" s="2">
        <v>38817</v>
      </c>
      <c r="G73" t="e">
        <f t="shared" si="1"/>
        <v>#VALUE!</v>
      </c>
    </row>
    <row r="74" spans="1:7" x14ac:dyDescent="0.2">
      <c r="A74" s="1">
        <v>42101033200</v>
      </c>
      <c r="B74" s="2" t="s">
        <v>275</v>
      </c>
      <c r="C74" s="2">
        <v>38735</v>
      </c>
      <c r="G74" t="str">
        <f t="shared" si="1"/>
        <v xml:space="preserve"> Philadelphia</v>
      </c>
    </row>
    <row r="75" spans="1:7" hidden="1" x14ac:dyDescent="0.2">
      <c r="A75" s="1">
        <v>34007602901</v>
      </c>
      <c r="B75" s="2" t="s">
        <v>228</v>
      </c>
      <c r="C75" s="2">
        <v>38718</v>
      </c>
      <c r="G75" t="e">
        <f t="shared" si="1"/>
        <v>#VALUE!</v>
      </c>
    </row>
    <row r="76" spans="1:7" hidden="1" x14ac:dyDescent="0.2">
      <c r="A76" s="1">
        <v>34005700304</v>
      </c>
      <c r="B76" s="2" t="s">
        <v>292</v>
      </c>
      <c r="C76" s="2">
        <v>38630</v>
      </c>
      <c r="G76" t="e">
        <f t="shared" si="1"/>
        <v>#VALUE!</v>
      </c>
    </row>
    <row r="77" spans="1:7" x14ac:dyDescent="0.2">
      <c r="A77" s="1">
        <v>42101035200</v>
      </c>
      <c r="B77" s="2" t="s">
        <v>155</v>
      </c>
      <c r="C77" s="2">
        <v>38590</v>
      </c>
      <c r="G77" t="str">
        <f t="shared" si="1"/>
        <v xml:space="preserve"> Philadelphia</v>
      </c>
    </row>
    <row r="78" spans="1:7" hidden="1" x14ac:dyDescent="0.2">
      <c r="A78" s="1">
        <v>42091201902</v>
      </c>
      <c r="B78" s="2" t="s">
        <v>226</v>
      </c>
      <c r="C78" s="2">
        <v>38568</v>
      </c>
      <c r="G78" t="e">
        <f t="shared" si="1"/>
        <v>#VALUE!</v>
      </c>
    </row>
    <row r="79" spans="1:7" hidden="1" x14ac:dyDescent="0.2">
      <c r="A79" s="1">
        <v>42091202201</v>
      </c>
      <c r="B79" s="2" t="s">
        <v>274</v>
      </c>
      <c r="C79" s="2">
        <v>38558</v>
      </c>
      <c r="G79" t="e">
        <f t="shared" si="1"/>
        <v>#VALUE!</v>
      </c>
    </row>
    <row r="80" spans="1:7" x14ac:dyDescent="0.2">
      <c r="A80" s="1">
        <v>42101036900</v>
      </c>
      <c r="B80" s="2" t="s">
        <v>329</v>
      </c>
      <c r="C80" s="2">
        <v>38510</v>
      </c>
      <c r="G80" t="str">
        <f t="shared" si="1"/>
        <v xml:space="preserve"> Philadelphia</v>
      </c>
    </row>
    <row r="81" spans="1:7" hidden="1" x14ac:dyDescent="0.2">
      <c r="A81" s="1">
        <v>42091202402</v>
      </c>
      <c r="B81" s="2" t="s">
        <v>308</v>
      </c>
      <c r="C81" s="2">
        <v>38456</v>
      </c>
      <c r="G81" t="e">
        <f t="shared" si="1"/>
        <v>#VALUE!</v>
      </c>
    </row>
    <row r="82" spans="1:7" hidden="1" x14ac:dyDescent="0.2">
      <c r="A82" s="1">
        <v>34007605602</v>
      </c>
      <c r="B82" s="2" t="s">
        <v>285</v>
      </c>
      <c r="C82" s="2">
        <v>38449</v>
      </c>
      <c r="G82" t="e">
        <f t="shared" si="1"/>
        <v>#VALUE!</v>
      </c>
    </row>
    <row r="83" spans="1:7" hidden="1" x14ac:dyDescent="0.2">
      <c r="A83" s="1">
        <v>42045409100</v>
      </c>
      <c r="B83" s="2" t="s">
        <v>336</v>
      </c>
      <c r="C83" s="2">
        <v>38449</v>
      </c>
      <c r="G83" t="e">
        <f t="shared" si="1"/>
        <v>#VALUE!</v>
      </c>
    </row>
    <row r="84" spans="1:7" hidden="1" x14ac:dyDescent="0.2">
      <c r="A84" s="1">
        <v>42045410602</v>
      </c>
      <c r="B84" s="2" t="s">
        <v>309</v>
      </c>
      <c r="C84" s="2">
        <v>38342</v>
      </c>
      <c r="G84" t="e">
        <f t="shared" si="1"/>
        <v>#VALUE!</v>
      </c>
    </row>
    <row r="85" spans="1:7" hidden="1" x14ac:dyDescent="0.2">
      <c r="A85" s="1">
        <v>34007603603</v>
      </c>
      <c r="B85" s="2" t="s">
        <v>333</v>
      </c>
      <c r="C85" s="2">
        <v>38312</v>
      </c>
      <c r="G85" t="str">
        <f t="shared" si="1"/>
        <v xml:space="preserve"> Cherry Hill</v>
      </c>
    </row>
    <row r="86" spans="1:7" hidden="1" x14ac:dyDescent="0.2">
      <c r="A86" s="1">
        <v>42045401104</v>
      </c>
      <c r="B86" s="2" t="s">
        <v>265</v>
      </c>
      <c r="C86" s="2">
        <v>38250</v>
      </c>
      <c r="G86" t="str">
        <f t="shared" si="1"/>
        <v xml:space="preserve"> Upper Darby</v>
      </c>
    </row>
    <row r="87" spans="1:7" hidden="1" x14ac:dyDescent="0.2">
      <c r="A87" s="1">
        <v>42045401302</v>
      </c>
      <c r="B87" s="2" t="s">
        <v>265</v>
      </c>
      <c r="C87" s="2">
        <v>38193</v>
      </c>
      <c r="G87" t="str">
        <f t="shared" si="1"/>
        <v xml:space="preserve"> Upper Darby</v>
      </c>
    </row>
    <row r="88" spans="1:7" x14ac:dyDescent="0.2">
      <c r="A88" s="1">
        <v>42101034701</v>
      </c>
      <c r="B88" s="2" t="s">
        <v>155</v>
      </c>
      <c r="C88" s="2">
        <v>38180</v>
      </c>
      <c r="G88" t="str">
        <f t="shared" si="1"/>
        <v xml:space="preserve"> Philadelphia</v>
      </c>
    </row>
    <row r="89" spans="1:7" hidden="1" x14ac:dyDescent="0.2">
      <c r="A89" s="1">
        <v>42091202302</v>
      </c>
      <c r="B89" s="2" t="s">
        <v>226</v>
      </c>
      <c r="C89" s="2">
        <v>38180</v>
      </c>
      <c r="G89" t="e">
        <f t="shared" si="1"/>
        <v>#VALUE!</v>
      </c>
    </row>
    <row r="90" spans="1:7" x14ac:dyDescent="0.2">
      <c r="A90" s="1">
        <v>42101980200</v>
      </c>
      <c r="B90" s="2" t="s">
        <v>155</v>
      </c>
      <c r="C90" s="2">
        <v>37864</v>
      </c>
      <c r="G90" t="str">
        <f t="shared" si="1"/>
        <v xml:space="preserve"> Philadelphia</v>
      </c>
    </row>
    <row r="91" spans="1:7" hidden="1" x14ac:dyDescent="0.2">
      <c r="A91" s="1">
        <v>42045401900</v>
      </c>
      <c r="B91" s="2" t="s">
        <v>229</v>
      </c>
      <c r="C91" s="2">
        <v>37855</v>
      </c>
      <c r="G91" t="e">
        <f t="shared" si="1"/>
        <v>#VALUE!</v>
      </c>
    </row>
    <row r="92" spans="1:7" x14ac:dyDescent="0.2">
      <c r="A92" s="1">
        <v>42101034100</v>
      </c>
      <c r="B92" s="2" t="s">
        <v>297</v>
      </c>
      <c r="C92" s="2">
        <v>37793</v>
      </c>
      <c r="G92" t="str">
        <f t="shared" si="1"/>
        <v xml:space="preserve"> Philadelphia</v>
      </c>
    </row>
    <row r="93" spans="1:7" x14ac:dyDescent="0.2">
      <c r="A93" s="1">
        <v>42101023600</v>
      </c>
      <c r="B93" s="2" t="s">
        <v>232</v>
      </c>
      <c r="C93" s="2">
        <v>37738</v>
      </c>
      <c r="G93" t="str">
        <f t="shared" si="1"/>
        <v xml:space="preserve"> Philadelphia</v>
      </c>
    </row>
    <row r="94" spans="1:7" hidden="1" x14ac:dyDescent="0.2">
      <c r="A94" s="1">
        <v>34007606300</v>
      </c>
      <c r="B94" s="2" t="s">
        <v>321</v>
      </c>
      <c r="C94" s="2">
        <v>37669</v>
      </c>
      <c r="G94" t="e">
        <f t="shared" si="1"/>
        <v>#VALUE!</v>
      </c>
    </row>
    <row r="95" spans="1:7" x14ac:dyDescent="0.2">
      <c r="A95" s="1">
        <v>42101034200</v>
      </c>
      <c r="B95" s="2" t="s">
        <v>297</v>
      </c>
      <c r="C95" s="2">
        <v>37595</v>
      </c>
      <c r="G95" t="str">
        <f t="shared" si="1"/>
        <v xml:space="preserve"> Philadelphia</v>
      </c>
    </row>
    <row r="96" spans="1:7" hidden="1" x14ac:dyDescent="0.2">
      <c r="A96" s="1">
        <v>42045409602</v>
      </c>
      <c r="B96" s="2" t="s">
        <v>296</v>
      </c>
      <c r="C96" s="2">
        <v>37568</v>
      </c>
      <c r="G96" t="e">
        <f t="shared" si="1"/>
        <v>#VALUE!</v>
      </c>
    </row>
    <row r="97" spans="1:7" x14ac:dyDescent="0.2">
      <c r="A97" s="1">
        <v>42101031502</v>
      </c>
      <c r="B97" s="2" t="s">
        <v>275</v>
      </c>
      <c r="C97" s="2">
        <v>37506</v>
      </c>
      <c r="G97" t="str">
        <f t="shared" si="1"/>
        <v xml:space="preserve"> Philadelphia</v>
      </c>
    </row>
    <row r="98" spans="1:7" x14ac:dyDescent="0.2">
      <c r="A98" s="1">
        <v>42101030800</v>
      </c>
      <c r="B98" s="2" t="s">
        <v>249</v>
      </c>
      <c r="C98" s="2">
        <v>37442</v>
      </c>
      <c r="G98" t="str">
        <f t="shared" si="1"/>
        <v xml:space="preserve"> Philadelphia</v>
      </c>
    </row>
    <row r="99" spans="1:7" hidden="1" x14ac:dyDescent="0.2">
      <c r="A99" s="1">
        <v>34007604400</v>
      </c>
      <c r="B99" s="2" t="s">
        <v>279</v>
      </c>
      <c r="C99" s="2">
        <v>37432</v>
      </c>
      <c r="G99" t="e">
        <f t="shared" si="1"/>
        <v>#VALUE!</v>
      </c>
    </row>
    <row r="100" spans="1:7" hidden="1" x14ac:dyDescent="0.2">
      <c r="A100" s="1">
        <v>34007603302</v>
      </c>
      <c r="B100" s="2" t="s">
        <v>290</v>
      </c>
      <c r="C100" s="2">
        <v>37385</v>
      </c>
      <c r="G100" t="e">
        <f t="shared" si="1"/>
        <v>#VALUE!</v>
      </c>
    </row>
    <row r="101" spans="1:7" hidden="1" x14ac:dyDescent="0.2">
      <c r="A101" s="1">
        <v>42091205906</v>
      </c>
      <c r="B101" s="2" t="s">
        <v>312</v>
      </c>
      <c r="C101" s="2">
        <v>37335</v>
      </c>
      <c r="G101" t="e">
        <f t="shared" si="1"/>
        <v>#VALUE!</v>
      </c>
    </row>
    <row r="102" spans="1:7" x14ac:dyDescent="0.2">
      <c r="A102" s="1">
        <v>42101000804</v>
      </c>
      <c r="B102" s="2" t="s">
        <v>235</v>
      </c>
      <c r="C102" s="2">
        <v>37293</v>
      </c>
      <c r="G102" t="str">
        <f t="shared" si="1"/>
        <v xml:space="preserve"> Philadelphia</v>
      </c>
    </row>
    <row r="103" spans="1:7" x14ac:dyDescent="0.2">
      <c r="A103" s="1">
        <v>42101001600</v>
      </c>
      <c r="B103" s="2" t="s">
        <v>259</v>
      </c>
      <c r="C103" s="2">
        <v>37233</v>
      </c>
      <c r="G103" t="str">
        <f t="shared" si="1"/>
        <v xml:space="preserve"> Philadelphia</v>
      </c>
    </row>
    <row r="104" spans="1:7" x14ac:dyDescent="0.2">
      <c r="A104" s="1">
        <v>42101021700</v>
      </c>
      <c r="B104" s="2" t="s">
        <v>158</v>
      </c>
      <c r="C104" s="2">
        <v>37176</v>
      </c>
      <c r="G104" t="str">
        <f t="shared" si="1"/>
        <v xml:space="preserve"> Philadelphia</v>
      </c>
    </row>
    <row r="105" spans="1:7" x14ac:dyDescent="0.2">
      <c r="A105" s="1">
        <v>42101000402</v>
      </c>
      <c r="B105" s="2" t="s">
        <v>235</v>
      </c>
      <c r="C105" s="2">
        <v>37073</v>
      </c>
      <c r="G105" t="str">
        <f t="shared" si="1"/>
        <v xml:space="preserve"> Philadelphia</v>
      </c>
    </row>
    <row r="106" spans="1:7" hidden="1" x14ac:dyDescent="0.2">
      <c r="A106" s="1">
        <v>34007603505</v>
      </c>
      <c r="B106" s="2" t="s">
        <v>323</v>
      </c>
      <c r="C106" s="2">
        <v>36946</v>
      </c>
      <c r="G106" t="str">
        <f t="shared" si="1"/>
        <v xml:space="preserve"> Cherry Hill</v>
      </c>
    </row>
    <row r="107" spans="1:7" x14ac:dyDescent="0.2">
      <c r="A107" s="1">
        <v>42101033702</v>
      </c>
      <c r="B107" s="2" t="s">
        <v>155</v>
      </c>
      <c r="C107" s="2">
        <v>36886</v>
      </c>
      <c r="G107" t="str">
        <f t="shared" si="1"/>
        <v xml:space="preserve"> Philadelphia</v>
      </c>
    </row>
    <row r="108" spans="1:7" x14ac:dyDescent="0.2">
      <c r="A108" s="1">
        <v>42101021200</v>
      </c>
      <c r="B108" s="2" t="s">
        <v>158</v>
      </c>
      <c r="C108" s="2">
        <v>36850</v>
      </c>
      <c r="G108" t="str">
        <f t="shared" si="1"/>
        <v xml:space="preserve"> Philadelphia</v>
      </c>
    </row>
    <row r="109" spans="1:7" x14ac:dyDescent="0.2">
      <c r="A109" s="1">
        <v>42101034803</v>
      </c>
      <c r="B109" s="2" t="s">
        <v>155</v>
      </c>
      <c r="C109" s="2">
        <v>36807</v>
      </c>
      <c r="G109" t="str">
        <f t="shared" si="1"/>
        <v xml:space="preserve"> Philadelphia</v>
      </c>
    </row>
    <row r="110" spans="1:7" x14ac:dyDescent="0.2">
      <c r="A110" s="1">
        <v>42101033101</v>
      </c>
      <c r="B110" s="2" t="s">
        <v>154</v>
      </c>
      <c r="C110" s="2">
        <v>36509</v>
      </c>
      <c r="G110" t="str">
        <f t="shared" si="1"/>
        <v xml:space="preserve"> Philadelphia</v>
      </c>
    </row>
    <row r="111" spans="1:7" hidden="1" x14ac:dyDescent="0.2">
      <c r="A111" s="1">
        <v>42091205600</v>
      </c>
      <c r="B111" s="2" t="s">
        <v>332</v>
      </c>
      <c r="C111" s="2">
        <v>36496</v>
      </c>
      <c r="G111" t="e">
        <f t="shared" si="1"/>
        <v>#VALUE!</v>
      </c>
    </row>
    <row r="112" spans="1:7" x14ac:dyDescent="0.2">
      <c r="A112" s="1">
        <v>42101035302</v>
      </c>
      <c r="B112" s="2" t="s">
        <v>304</v>
      </c>
      <c r="C112" s="2">
        <v>36480</v>
      </c>
      <c r="G112" t="str">
        <f t="shared" si="1"/>
        <v xml:space="preserve"> Philadelphia</v>
      </c>
    </row>
    <row r="113" spans="1:7" x14ac:dyDescent="0.2">
      <c r="A113" s="1">
        <v>42101034501</v>
      </c>
      <c r="B113" s="2" t="s">
        <v>155</v>
      </c>
      <c r="C113" s="2">
        <v>36472</v>
      </c>
      <c r="G113" t="str">
        <f t="shared" si="1"/>
        <v xml:space="preserve"> Philadelphia</v>
      </c>
    </row>
    <row r="114" spans="1:7" hidden="1" x14ac:dyDescent="0.2">
      <c r="A114" s="1">
        <v>42045400600</v>
      </c>
      <c r="B114" s="2" t="s">
        <v>237</v>
      </c>
      <c r="C114" s="2">
        <v>36424</v>
      </c>
      <c r="G114" t="e">
        <f t="shared" si="1"/>
        <v>#VALUE!</v>
      </c>
    </row>
    <row r="115" spans="1:7" x14ac:dyDescent="0.2">
      <c r="A115" s="1">
        <v>42101031600</v>
      </c>
      <c r="B115" s="2" t="s">
        <v>155</v>
      </c>
      <c r="C115" s="2">
        <v>36385</v>
      </c>
      <c r="G115" t="str">
        <f t="shared" si="1"/>
        <v xml:space="preserve"> Philadelphia</v>
      </c>
    </row>
    <row r="116" spans="1:7" hidden="1" x14ac:dyDescent="0.2">
      <c r="A116" s="1">
        <v>34007605400</v>
      </c>
      <c r="B116" s="2" t="s">
        <v>300</v>
      </c>
      <c r="C116" s="2">
        <v>36360</v>
      </c>
      <c r="G116" t="e">
        <f t="shared" si="1"/>
        <v>#VALUE!</v>
      </c>
    </row>
    <row r="117" spans="1:7" hidden="1" x14ac:dyDescent="0.2">
      <c r="A117" s="1">
        <v>42045401600</v>
      </c>
      <c r="B117" s="2" t="s">
        <v>229</v>
      </c>
      <c r="C117" s="2">
        <v>36359</v>
      </c>
      <c r="G117" t="e">
        <f t="shared" si="1"/>
        <v>#VALUE!</v>
      </c>
    </row>
    <row r="118" spans="1:7" hidden="1" x14ac:dyDescent="0.2">
      <c r="A118" s="1">
        <v>42045401501</v>
      </c>
      <c r="B118" s="2" t="s">
        <v>263</v>
      </c>
      <c r="C118" s="2">
        <v>36346</v>
      </c>
      <c r="G118" t="e">
        <f t="shared" si="1"/>
        <v>#VALUE!</v>
      </c>
    </row>
    <row r="119" spans="1:7" x14ac:dyDescent="0.2">
      <c r="A119" s="1">
        <v>42101033300</v>
      </c>
      <c r="B119" s="2" t="s">
        <v>155</v>
      </c>
      <c r="C119" s="2">
        <v>36305</v>
      </c>
      <c r="G119" t="str">
        <f t="shared" si="1"/>
        <v xml:space="preserve"> Philadelphia</v>
      </c>
    </row>
    <row r="120" spans="1:7" hidden="1" x14ac:dyDescent="0.2">
      <c r="A120" s="1">
        <v>34007607506</v>
      </c>
      <c r="B120" s="2" t="s">
        <v>295</v>
      </c>
      <c r="C120" s="2">
        <v>36246</v>
      </c>
      <c r="G120" t="str">
        <f t="shared" si="1"/>
        <v xml:space="preserve"> Voorhees Township</v>
      </c>
    </row>
    <row r="121" spans="1:7" hidden="1" x14ac:dyDescent="0.2">
      <c r="A121" s="1">
        <v>42091202500</v>
      </c>
      <c r="B121" s="2" t="s">
        <v>274</v>
      </c>
      <c r="C121" s="2">
        <v>36228</v>
      </c>
      <c r="G121" t="e">
        <f t="shared" si="1"/>
        <v>#VALUE!</v>
      </c>
    </row>
    <row r="122" spans="1:7" hidden="1" x14ac:dyDescent="0.2">
      <c r="A122" s="1">
        <v>34007606800</v>
      </c>
      <c r="B122" s="2" t="s">
        <v>264</v>
      </c>
      <c r="C122" s="2">
        <v>36190</v>
      </c>
      <c r="G122" t="e">
        <f t="shared" si="1"/>
        <v>#VALUE!</v>
      </c>
    </row>
    <row r="123" spans="1:7" hidden="1" x14ac:dyDescent="0.2">
      <c r="A123" s="1">
        <v>42091204101</v>
      </c>
      <c r="B123" s="2" t="s">
        <v>257</v>
      </c>
      <c r="C123" s="2">
        <v>36169</v>
      </c>
      <c r="G123" t="e">
        <f t="shared" si="1"/>
        <v>#VALUE!</v>
      </c>
    </row>
    <row r="124" spans="1:7" hidden="1" x14ac:dyDescent="0.2">
      <c r="A124" s="1">
        <v>34007606600</v>
      </c>
      <c r="B124" s="2" t="s">
        <v>321</v>
      </c>
      <c r="C124" s="2">
        <v>36066</v>
      </c>
      <c r="G124" t="e">
        <f t="shared" si="1"/>
        <v>#VALUE!</v>
      </c>
    </row>
    <row r="125" spans="1:7" hidden="1" x14ac:dyDescent="0.2">
      <c r="A125" s="1">
        <v>42091205000</v>
      </c>
      <c r="B125" s="2" t="s">
        <v>296</v>
      </c>
      <c r="C125" s="2">
        <v>36053</v>
      </c>
      <c r="G125" t="e">
        <f t="shared" si="1"/>
        <v>#VALUE!</v>
      </c>
    </row>
    <row r="126" spans="1:7" x14ac:dyDescent="0.2">
      <c r="A126" s="1">
        <v>42101038800</v>
      </c>
      <c r="B126" s="2" t="s">
        <v>232</v>
      </c>
      <c r="C126" s="2">
        <v>35988</v>
      </c>
      <c r="G126" t="str">
        <f t="shared" si="1"/>
        <v xml:space="preserve"> Philadelphia</v>
      </c>
    </row>
    <row r="127" spans="1:7" x14ac:dyDescent="0.2">
      <c r="A127" s="1">
        <v>42101038700</v>
      </c>
      <c r="B127" s="2" t="s">
        <v>158</v>
      </c>
      <c r="C127" s="2">
        <v>35981</v>
      </c>
      <c r="G127" t="str">
        <f t="shared" si="1"/>
        <v xml:space="preserve"> Philadelphia</v>
      </c>
    </row>
    <row r="128" spans="1:7" x14ac:dyDescent="0.2">
      <c r="A128" s="1">
        <v>42101033600</v>
      </c>
      <c r="B128" s="2" t="s">
        <v>155</v>
      </c>
      <c r="C128" s="2">
        <v>35863</v>
      </c>
      <c r="G128" t="str">
        <f t="shared" si="1"/>
        <v xml:space="preserve"> Philadelphia</v>
      </c>
    </row>
    <row r="129" spans="1:7" hidden="1" x14ac:dyDescent="0.2">
      <c r="A129" s="1">
        <v>42045403602</v>
      </c>
      <c r="B129" s="2" t="s">
        <v>301</v>
      </c>
      <c r="C129" s="2">
        <v>35834</v>
      </c>
      <c r="G129" t="e">
        <f t="shared" si="1"/>
        <v>#VALUE!</v>
      </c>
    </row>
    <row r="130" spans="1:7" hidden="1" x14ac:dyDescent="0.2">
      <c r="A130" s="1">
        <v>42045403901</v>
      </c>
      <c r="B130" s="2" t="s">
        <v>288</v>
      </c>
      <c r="C130" s="2">
        <v>35716</v>
      </c>
      <c r="G130" t="e">
        <f t="shared" si="1"/>
        <v>#VALUE!</v>
      </c>
    </row>
    <row r="131" spans="1:7" hidden="1" x14ac:dyDescent="0.2">
      <c r="A131" s="1">
        <v>42045403200</v>
      </c>
      <c r="B131" s="2" t="s">
        <v>319</v>
      </c>
      <c r="C131" s="2">
        <v>35703</v>
      </c>
      <c r="G131" t="e">
        <f t="shared" ref="G131:G194" si="2">MID($B131, FIND(",",$B131)+1, FIND(",",$B131,FIND(",",$B131)+1) -1 -FIND(",",$B131))</f>
        <v>#VALUE!</v>
      </c>
    </row>
    <row r="132" spans="1:7" hidden="1" x14ac:dyDescent="0.2">
      <c r="A132" s="1">
        <v>42045401402</v>
      </c>
      <c r="B132" s="2" t="s">
        <v>265</v>
      </c>
      <c r="C132" s="2">
        <v>35567</v>
      </c>
      <c r="G132" t="str">
        <f t="shared" si="2"/>
        <v xml:space="preserve"> Upper Darby</v>
      </c>
    </row>
    <row r="133" spans="1:7" hidden="1" x14ac:dyDescent="0.2">
      <c r="A133" s="1">
        <v>34007604700</v>
      </c>
      <c r="B133" s="2" t="s">
        <v>222</v>
      </c>
      <c r="C133" s="2">
        <v>35557</v>
      </c>
      <c r="G133" t="e">
        <f t="shared" si="2"/>
        <v>#VALUE!</v>
      </c>
    </row>
    <row r="134" spans="1:7" hidden="1" x14ac:dyDescent="0.2">
      <c r="A134" s="1">
        <v>34007603902</v>
      </c>
      <c r="B134" s="2" t="s">
        <v>324</v>
      </c>
      <c r="C134" s="2">
        <v>35549</v>
      </c>
      <c r="G134" t="e">
        <f t="shared" si="2"/>
        <v>#VALUE!</v>
      </c>
    </row>
    <row r="135" spans="1:7" x14ac:dyDescent="0.2">
      <c r="A135" s="1">
        <v>42101003800</v>
      </c>
      <c r="B135" s="2" t="s">
        <v>294</v>
      </c>
      <c r="C135" s="2">
        <v>35523</v>
      </c>
      <c r="G135" t="str">
        <f t="shared" si="2"/>
        <v xml:space="preserve"> Philadelphia</v>
      </c>
    </row>
    <row r="136" spans="1:7" hidden="1" x14ac:dyDescent="0.2">
      <c r="A136" s="1">
        <v>42045400700</v>
      </c>
      <c r="B136" s="2" t="s">
        <v>237</v>
      </c>
      <c r="C136" s="2">
        <v>35429</v>
      </c>
      <c r="G136" t="e">
        <f t="shared" si="2"/>
        <v>#VALUE!</v>
      </c>
    </row>
    <row r="137" spans="1:7" hidden="1" x14ac:dyDescent="0.2">
      <c r="A137" s="1">
        <v>34005700405</v>
      </c>
      <c r="B137" s="2" t="s">
        <v>240</v>
      </c>
      <c r="C137" s="2">
        <v>35422</v>
      </c>
      <c r="G137" t="e">
        <f t="shared" si="2"/>
        <v>#VALUE!</v>
      </c>
    </row>
    <row r="138" spans="1:7" hidden="1" x14ac:dyDescent="0.2">
      <c r="A138" s="1">
        <v>42091204300</v>
      </c>
      <c r="B138" s="2" t="s">
        <v>322</v>
      </c>
      <c r="C138" s="2">
        <v>35417</v>
      </c>
      <c r="G138" t="e">
        <f t="shared" si="2"/>
        <v>#VALUE!</v>
      </c>
    </row>
    <row r="139" spans="1:7" x14ac:dyDescent="0.2">
      <c r="A139" s="1">
        <v>42101000300</v>
      </c>
      <c r="B139" s="2" t="s">
        <v>235</v>
      </c>
      <c r="C139" s="2">
        <v>35404</v>
      </c>
      <c r="G139" t="str">
        <f t="shared" si="2"/>
        <v xml:space="preserve"> Philadelphia</v>
      </c>
    </row>
    <row r="140" spans="1:7" hidden="1" x14ac:dyDescent="0.2">
      <c r="A140" s="1">
        <v>34005700502</v>
      </c>
      <c r="B140" s="2" t="s">
        <v>331</v>
      </c>
      <c r="C140" s="2">
        <v>35369</v>
      </c>
      <c r="G140" t="str">
        <f t="shared" si="2"/>
        <v xml:space="preserve"> Moorestown</v>
      </c>
    </row>
    <row r="141" spans="1:7" hidden="1" x14ac:dyDescent="0.2">
      <c r="A141" s="1">
        <v>34007608206</v>
      </c>
      <c r="B141" s="2" t="s">
        <v>284</v>
      </c>
      <c r="C141" s="2">
        <v>35360</v>
      </c>
      <c r="G141" t="e">
        <f t="shared" si="2"/>
        <v>#VALUE!</v>
      </c>
    </row>
    <row r="142" spans="1:7" hidden="1" x14ac:dyDescent="0.2">
      <c r="A142" s="1">
        <v>34015500201</v>
      </c>
      <c r="B142" s="2" t="s">
        <v>310</v>
      </c>
      <c r="C142" s="2">
        <v>35276</v>
      </c>
      <c r="G142" t="e">
        <f t="shared" si="2"/>
        <v>#VALUE!</v>
      </c>
    </row>
    <row r="143" spans="1:7" hidden="1" x14ac:dyDescent="0.2">
      <c r="A143" s="1">
        <v>42045401401</v>
      </c>
      <c r="B143" s="2" t="s">
        <v>265</v>
      </c>
      <c r="C143" s="2">
        <v>35258</v>
      </c>
      <c r="G143" t="str">
        <f t="shared" si="2"/>
        <v xml:space="preserve"> Upper Darby</v>
      </c>
    </row>
    <row r="144" spans="1:7" x14ac:dyDescent="0.2">
      <c r="A144" s="1">
        <v>42101034801</v>
      </c>
      <c r="B144" s="2" t="s">
        <v>155</v>
      </c>
      <c r="C144" s="2">
        <v>35243</v>
      </c>
      <c r="G144" t="str">
        <f t="shared" si="2"/>
        <v xml:space="preserve"> Philadelphia</v>
      </c>
    </row>
    <row r="145" spans="1:7" hidden="1" x14ac:dyDescent="0.2">
      <c r="A145" s="1">
        <v>34015500500</v>
      </c>
      <c r="B145" s="2" t="s">
        <v>307</v>
      </c>
      <c r="C145" s="2">
        <v>35187</v>
      </c>
      <c r="G145" t="str">
        <f t="shared" si="2"/>
        <v xml:space="preserve"> Greenwich Township</v>
      </c>
    </row>
    <row r="146" spans="1:7" hidden="1" x14ac:dyDescent="0.2">
      <c r="A146" s="1">
        <v>34007604600</v>
      </c>
      <c r="B146" s="2" t="s">
        <v>222</v>
      </c>
      <c r="C146" s="2">
        <v>35133</v>
      </c>
      <c r="G146" t="e">
        <f t="shared" si="2"/>
        <v>#VALUE!</v>
      </c>
    </row>
    <row r="147" spans="1:7" hidden="1" x14ac:dyDescent="0.2">
      <c r="A147" s="1">
        <v>34007603100</v>
      </c>
      <c r="B147" s="2" t="s">
        <v>276</v>
      </c>
      <c r="C147" s="2">
        <v>35125</v>
      </c>
      <c r="G147" t="e">
        <f t="shared" si="2"/>
        <v>#VALUE!</v>
      </c>
    </row>
    <row r="148" spans="1:7" x14ac:dyDescent="0.2">
      <c r="A148" s="1">
        <v>42101000801</v>
      </c>
      <c r="B148" s="2" t="s">
        <v>235</v>
      </c>
      <c r="C148" s="2">
        <v>35020</v>
      </c>
      <c r="G148" t="str">
        <f t="shared" si="2"/>
        <v xml:space="preserve"> Philadelphia</v>
      </c>
    </row>
    <row r="149" spans="1:7" x14ac:dyDescent="0.2">
      <c r="A149" s="1">
        <v>42101033500</v>
      </c>
      <c r="B149" s="2" t="s">
        <v>155</v>
      </c>
      <c r="C149" s="2">
        <v>34966</v>
      </c>
      <c r="G149" t="str">
        <f t="shared" si="2"/>
        <v xml:space="preserve"> Philadelphia</v>
      </c>
    </row>
    <row r="150" spans="1:7" x14ac:dyDescent="0.2">
      <c r="A150" s="1">
        <v>42101031501</v>
      </c>
      <c r="B150" s="2" t="s">
        <v>275</v>
      </c>
      <c r="C150" s="2">
        <v>34956</v>
      </c>
      <c r="G150" t="str">
        <f t="shared" si="2"/>
        <v xml:space="preserve"> Philadelphia</v>
      </c>
    </row>
    <row r="151" spans="1:7" x14ac:dyDescent="0.2">
      <c r="A151" s="1">
        <v>42101023500</v>
      </c>
      <c r="B151" s="2" t="s">
        <v>232</v>
      </c>
      <c r="C151" s="2">
        <v>34874</v>
      </c>
      <c r="G151" t="str">
        <f t="shared" si="2"/>
        <v xml:space="preserve"> Philadelphia</v>
      </c>
    </row>
    <row r="152" spans="1:7" x14ac:dyDescent="0.2">
      <c r="A152" s="1">
        <v>42101030700</v>
      </c>
      <c r="B152" s="2" t="s">
        <v>238</v>
      </c>
      <c r="C152" s="2">
        <v>34852</v>
      </c>
      <c r="G152" t="str">
        <f t="shared" si="2"/>
        <v xml:space="preserve"> Philadelphia</v>
      </c>
    </row>
    <row r="153" spans="1:7" x14ac:dyDescent="0.2">
      <c r="A153" s="1">
        <v>42101026900</v>
      </c>
      <c r="B153" s="2" t="s">
        <v>166</v>
      </c>
      <c r="C153" s="2">
        <v>34805</v>
      </c>
      <c r="G153" t="str">
        <f t="shared" si="2"/>
        <v xml:space="preserve"> Philadelphia</v>
      </c>
    </row>
    <row r="154" spans="1:7" x14ac:dyDescent="0.2">
      <c r="A154" s="1">
        <v>42101000902</v>
      </c>
      <c r="B154" s="2" t="s">
        <v>235</v>
      </c>
      <c r="C154" s="2">
        <v>34793</v>
      </c>
      <c r="G154" t="str">
        <f t="shared" si="2"/>
        <v xml:space="preserve"> Philadelphia</v>
      </c>
    </row>
    <row r="155" spans="1:7" hidden="1" x14ac:dyDescent="0.2">
      <c r="A155" s="1">
        <v>42045410500</v>
      </c>
      <c r="B155" s="2" t="s">
        <v>237</v>
      </c>
      <c r="C155" s="2">
        <v>34764</v>
      </c>
      <c r="G155" t="e">
        <f t="shared" si="2"/>
        <v>#VALUE!</v>
      </c>
    </row>
    <row r="156" spans="1:7" hidden="1" x14ac:dyDescent="0.2">
      <c r="A156" s="1">
        <v>42045403701</v>
      </c>
      <c r="B156" s="2" t="s">
        <v>254</v>
      </c>
      <c r="C156" s="2">
        <v>34717</v>
      </c>
      <c r="G156" t="str">
        <f t="shared" si="2"/>
        <v xml:space="preserve"> Tinicum Township</v>
      </c>
    </row>
    <row r="157" spans="1:7" x14ac:dyDescent="0.2">
      <c r="A157" s="1">
        <v>42101032600</v>
      </c>
      <c r="B157" s="2" t="s">
        <v>155</v>
      </c>
      <c r="C157" s="2">
        <v>34683</v>
      </c>
      <c r="G157" t="str">
        <f t="shared" si="2"/>
        <v xml:space="preserve"> Philadelphia</v>
      </c>
    </row>
    <row r="158" spans="1:7" hidden="1" x14ac:dyDescent="0.2">
      <c r="A158" s="1">
        <v>34007605700</v>
      </c>
      <c r="B158" s="2" t="s">
        <v>285</v>
      </c>
      <c r="C158" s="2">
        <v>34644</v>
      </c>
      <c r="G158" t="e">
        <f t="shared" si="2"/>
        <v>#VALUE!</v>
      </c>
    </row>
    <row r="159" spans="1:7" x14ac:dyDescent="0.2">
      <c r="A159" s="1">
        <v>42101033102</v>
      </c>
      <c r="B159" s="2" t="s">
        <v>154</v>
      </c>
      <c r="C159" s="2">
        <v>34554</v>
      </c>
      <c r="G159" t="str">
        <f t="shared" si="2"/>
        <v xml:space="preserve"> Philadelphia</v>
      </c>
    </row>
    <row r="160" spans="1:7" hidden="1" x14ac:dyDescent="0.2">
      <c r="A160" s="1">
        <v>34007603700</v>
      </c>
      <c r="B160" s="2" t="s">
        <v>305</v>
      </c>
      <c r="C160" s="2">
        <v>34545</v>
      </c>
      <c r="G160" t="str">
        <f t="shared" si="2"/>
        <v xml:space="preserve"> Cherry Hill</v>
      </c>
    </row>
    <row r="161" spans="1:7" x14ac:dyDescent="0.2">
      <c r="A161" s="1">
        <v>42101035301</v>
      </c>
      <c r="B161" s="2" t="s">
        <v>304</v>
      </c>
      <c r="C161" s="2">
        <v>34455</v>
      </c>
      <c r="G161" t="str">
        <f t="shared" si="2"/>
        <v xml:space="preserve"> Philadelphia</v>
      </c>
    </row>
    <row r="162" spans="1:7" x14ac:dyDescent="0.2">
      <c r="A162" s="1">
        <v>42101033701</v>
      </c>
      <c r="B162" s="2" t="s">
        <v>155</v>
      </c>
      <c r="C162" s="2">
        <v>34433</v>
      </c>
      <c r="G162" t="str">
        <f t="shared" si="2"/>
        <v xml:space="preserve"> Philadelphia</v>
      </c>
    </row>
    <row r="163" spans="1:7" hidden="1" x14ac:dyDescent="0.2">
      <c r="A163" s="1">
        <v>42045403601</v>
      </c>
      <c r="B163" s="2" t="s">
        <v>301</v>
      </c>
      <c r="C163" s="2">
        <v>34422</v>
      </c>
      <c r="G163" t="e">
        <f t="shared" si="2"/>
        <v>#VALUE!</v>
      </c>
    </row>
    <row r="164" spans="1:7" hidden="1" x14ac:dyDescent="0.2">
      <c r="A164" s="1">
        <v>34007604300</v>
      </c>
      <c r="B164" s="2" t="s">
        <v>279</v>
      </c>
      <c r="C164" s="2">
        <v>34397</v>
      </c>
      <c r="G164" t="e">
        <f t="shared" si="2"/>
        <v>#VALUE!</v>
      </c>
    </row>
    <row r="165" spans="1:7" hidden="1" x14ac:dyDescent="0.2">
      <c r="A165" s="1">
        <v>42045401502</v>
      </c>
      <c r="B165" s="2" t="s">
        <v>263</v>
      </c>
      <c r="C165" s="2">
        <v>34387</v>
      </c>
      <c r="G165" t="e">
        <f t="shared" si="2"/>
        <v>#VALUE!</v>
      </c>
    </row>
    <row r="166" spans="1:7" x14ac:dyDescent="0.2">
      <c r="A166" s="1">
        <v>42101021100</v>
      </c>
      <c r="B166" s="2" t="s">
        <v>158</v>
      </c>
      <c r="C166" s="2">
        <v>34377</v>
      </c>
      <c r="G166" t="str">
        <f t="shared" si="2"/>
        <v xml:space="preserve"> Philadelphia</v>
      </c>
    </row>
    <row r="167" spans="1:7" hidden="1" x14ac:dyDescent="0.2">
      <c r="A167" s="1">
        <v>42045404004</v>
      </c>
      <c r="B167" s="2" t="s">
        <v>281</v>
      </c>
      <c r="C167" s="2">
        <v>34374</v>
      </c>
      <c r="G167" t="e">
        <f t="shared" si="2"/>
        <v>#VALUE!</v>
      </c>
    </row>
    <row r="168" spans="1:7" hidden="1" x14ac:dyDescent="0.2">
      <c r="A168" s="1">
        <v>34007607507</v>
      </c>
      <c r="B168" s="2" t="s">
        <v>295</v>
      </c>
      <c r="C168" s="2">
        <v>34301</v>
      </c>
      <c r="G168" t="str">
        <f t="shared" si="2"/>
        <v xml:space="preserve"> Voorhees Township</v>
      </c>
    </row>
    <row r="169" spans="1:7" x14ac:dyDescent="0.2">
      <c r="A169" s="1">
        <v>42101034000</v>
      </c>
      <c r="B169" s="2" t="s">
        <v>297</v>
      </c>
      <c r="C169" s="2">
        <v>34244</v>
      </c>
      <c r="G169" t="str">
        <f t="shared" si="2"/>
        <v xml:space="preserve"> Philadelphia</v>
      </c>
    </row>
    <row r="170" spans="1:7" hidden="1" x14ac:dyDescent="0.2">
      <c r="A170" s="1">
        <v>42045403001</v>
      </c>
      <c r="B170" s="2" t="s">
        <v>311</v>
      </c>
      <c r="C170" s="2">
        <v>34238</v>
      </c>
      <c r="G170" t="str">
        <f t="shared" si="2"/>
        <v xml:space="preserve"> Glenolden</v>
      </c>
    </row>
    <row r="171" spans="1:7" hidden="1" x14ac:dyDescent="0.2">
      <c r="A171" s="1">
        <v>34007607200</v>
      </c>
      <c r="B171" s="2" t="s">
        <v>299</v>
      </c>
      <c r="C171" s="2">
        <v>34218</v>
      </c>
      <c r="G171" t="e">
        <f t="shared" si="2"/>
        <v>#VALUE!</v>
      </c>
    </row>
    <row r="172" spans="1:7" x14ac:dyDescent="0.2">
      <c r="A172" s="1">
        <v>42101000200</v>
      </c>
      <c r="B172" s="2" t="s">
        <v>235</v>
      </c>
      <c r="C172" s="2">
        <v>34182</v>
      </c>
      <c r="G172" t="str">
        <f t="shared" si="2"/>
        <v xml:space="preserve"> Philadelphia</v>
      </c>
    </row>
    <row r="173" spans="1:7" x14ac:dyDescent="0.2">
      <c r="A173" s="1">
        <v>42101033900</v>
      </c>
      <c r="B173" s="2" t="s">
        <v>297</v>
      </c>
      <c r="C173" s="2">
        <v>34177</v>
      </c>
      <c r="G173" t="str">
        <f t="shared" si="2"/>
        <v xml:space="preserve"> Philadelphia</v>
      </c>
    </row>
    <row r="174" spans="1:7" x14ac:dyDescent="0.2">
      <c r="A174" s="1">
        <v>42101031000</v>
      </c>
      <c r="B174" s="2" t="s">
        <v>249</v>
      </c>
      <c r="C174" s="2">
        <v>34146</v>
      </c>
      <c r="G174" t="str">
        <f t="shared" si="2"/>
        <v xml:space="preserve"> Philadelphia</v>
      </c>
    </row>
    <row r="175" spans="1:7" hidden="1" x14ac:dyDescent="0.2">
      <c r="A175" s="1">
        <v>34005700102</v>
      </c>
      <c r="B175" s="2" t="s">
        <v>236</v>
      </c>
      <c r="C175" s="2">
        <v>34041</v>
      </c>
      <c r="G175" t="e">
        <f t="shared" si="2"/>
        <v>#VALUE!</v>
      </c>
    </row>
    <row r="176" spans="1:7" x14ac:dyDescent="0.2">
      <c r="A176" s="1">
        <v>42101021600</v>
      </c>
      <c r="B176" s="2" t="s">
        <v>158</v>
      </c>
      <c r="C176" s="2">
        <v>34021</v>
      </c>
      <c r="G176" t="str">
        <f t="shared" si="2"/>
        <v xml:space="preserve"> Philadelphia</v>
      </c>
    </row>
    <row r="177" spans="1:7" hidden="1" x14ac:dyDescent="0.2">
      <c r="A177" s="1">
        <v>34007611700</v>
      </c>
      <c r="B177" s="2" t="s">
        <v>300</v>
      </c>
      <c r="C177" s="2">
        <v>34008</v>
      </c>
      <c r="G177" t="e">
        <f t="shared" si="2"/>
        <v>#VALUE!</v>
      </c>
    </row>
    <row r="178" spans="1:7" hidden="1" x14ac:dyDescent="0.2">
      <c r="A178" s="1">
        <v>34007603301</v>
      </c>
      <c r="B178" s="2" t="s">
        <v>290</v>
      </c>
      <c r="C178" s="2">
        <v>33996</v>
      </c>
      <c r="G178" t="e">
        <f t="shared" si="2"/>
        <v>#VALUE!</v>
      </c>
    </row>
    <row r="179" spans="1:7" x14ac:dyDescent="0.2">
      <c r="A179" s="1">
        <v>42101025800</v>
      </c>
      <c r="B179" s="2" t="s">
        <v>166</v>
      </c>
      <c r="C179" s="2">
        <v>33966</v>
      </c>
      <c r="G179" t="str">
        <f t="shared" si="2"/>
        <v xml:space="preserve"> Philadelphia</v>
      </c>
    </row>
    <row r="180" spans="1:7" hidden="1" x14ac:dyDescent="0.2">
      <c r="A180" s="1">
        <v>34005700303</v>
      </c>
      <c r="B180" s="2" t="s">
        <v>292</v>
      </c>
      <c r="C180" s="2">
        <v>33964</v>
      </c>
      <c r="G180" t="e">
        <f t="shared" si="2"/>
        <v>#VALUE!</v>
      </c>
    </row>
    <row r="181" spans="1:7" hidden="1" x14ac:dyDescent="0.2">
      <c r="A181" s="1">
        <v>42045403501</v>
      </c>
      <c r="B181" s="2" t="s">
        <v>272</v>
      </c>
      <c r="C181" s="2">
        <v>33945</v>
      </c>
      <c r="G181" t="e">
        <f t="shared" si="2"/>
        <v>#VALUE!</v>
      </c>
    </row>
    <row r="182" spans="1:7" x14ac:dyDescent="0.2">
      <c r="A182" s="1">
        <v>42101000700</v>
      </c>
      <c r="B182" s="2" t="s">
        <v>235</v>
      </c>
      <c r="C182" s="2">
        <v>33926</v>
      </c>
      <c r="G182" t="str">
        <f t="shared" si="2"/>
        <v xml:space="preserve"> Philadelphia</v>
      </c>
    </row>
    <row r="183" spans="1:7" x14ac:dyDescent="0.2">
      <c r="A183" s="1">
        <v>42101037900</v>
      </c>
      <c r="B183" s="2" t="s">
        <v>166</v>
      </c>
      <c r="C183" s="2">
        <v>33919</v>
      </c>
      <c r="G183" t="str">
        <f t="shared" si="2"/>
        <v xml:space="preserve"> Philadelphia</v>
      </c>
    </row>
    <row r="184" spans="1:7" hidden="1" x14ac:dyDescent="0.2">
      <c r="A184" s="1">
        <v>34015500205</v>
      </c>
      <c r="B184" s="2" t="s">
        <v>271</v>
      </c>
      <c r="C184" s="2">
        <v>33826</v>
      </c>
      <c r="G184" t="str">
        <f t="shared" si="2"/>
        <v xml:space="preserve"> West Deptford</v>
      </c>
    </row>
    <row r="185" spans="1:7" hidden="1" x14ac:dyDescent="0.2">
      <c r="A185" s="1">
        <v>42045403002</v>
      </c>
      <c r="B185" s="2" t="s">
        <v>311</v>
      </c>
      <c r="C185" s="2">
        <v>33794</v>
      </c>
      <c r="G185" t="str">
        <f t="shared" si="2"/>
        <v xml:space="preserve"> Glenolden</v>
      </c>
    </row>
    <row r="186" spans="1:7" x14ac:dyDescent="0.2">
      <c r="A186" s="1">
        <v>42101037300</v>
      </c>
      <c r="B186" s="2" t="s">
        <v>286</v>
      </c>
      <c r="C186" s="2">
        <v>33784</v>
      </c>
      <c r="G186" t="str">
        <f t="shared" si="2"/>
        <v xml:space="preserve"> Philadelphia</v>
      </c>
    </row>
    <row r="187" spans="1:7" hidden="1" x14ac:dyDescent="0.2">
      <c r="A187" s="1">
        <v>42045401101</v>
      </c>
      <c r="B187" s="2" t="s">
        <v>265</v>
      </c>
      <c r="C187" s="2">
        <v>33714</v>
      </c>
      <c r="G187" t="str">
        <f t="shared" si="2"/>
        <v xml:space="preserve"> Upper Darby</v>
      </c>
    </row>
    <row r="188" spans="1:7" x14ac:dyDescent="0.2">
      <c r="A188" s="1">
        <v>42101021900</v>
      </c>
      <c r="B188" s="2" t="s">
        <v>317</v>
      </c>
      <c r="C188" s="2">
        <v>33674</v>
      </c>
      <c r="G188" t="str">
        <f t="shared" si="2"/>
        <v xml:space="preserve"> Philadelphia</v>
      </c>
    </row>
    <row r="189" spans="1:7" hidden="1" x14ac:dyDescent="0.2">
      <c r="A189" s="1">
        <v>34007607100</v>
      </c>
      <c r="B189" s="2" t="s">
        <v>299</v>
      </c>
      <c r="C189" s="2">
        <v>33663</v>
      </c>
      <c r="G189" t="e">
        <f t="shared" si="2"/>
        <v>#VALUE!</v>
      </c>
    </row>
    <row r="190" spans="1:7" x14ac:dyDescent="0.2">
      <c r="A190" s="1">
        <v>42101021500</v>
      </c>
      <c r="B190" s="2" t="s">
        <v>255</v>
      </c>
      <c r="C190" s="2">
        <v>33605</v>
      </c>
      <c r="G190" t="str">
        <f t="shared" si="2"/>
        <v xml:space="preserve"> Philadelphia</v>
      </c>
    </row>
    <row r="191" spans="1:7" hidden="1" x14ac:dyDescent="0.2">
      <c r="A191" s="1">
        <v>42045410601</v>
      </c>
      <c r="B191" s="2" t="s">
        <v>309</v>
      </c>
      <c r="C191" s="2">
        <v>33595</v>
      </c>
      <c r="G191" t="e">
        <f t="shared" si="2"/>
        <v>#VALUE!</v>
      </c>
    </row>
    <row r="192" spans="1:7" x14ac:dyDescent="0.2">
      <c r="A192" s="1">
        <v>42101020800</v>
      </c>
      <c r="B192" s="2" t="s">
        <v>266</v>
      </c>
      <c r="C192" s="2">
        <v>33559</v>
      </c>
      <c r="G192" t="str">
        <f t="shared" si="2"/>
        <v xml:space="preserve"> Philadelphia</v>
      </c>
    </row>
    <row r="193" spans="1:7" hidden="1" x14ac:dyDescent="0.2">
      <c r="A193" s="1">
        <v>34007604200</v>
      </c>
      <c r="B193" s="2" t="s">
        <v>279</v>
      </c>
      <c r="C193" s="2">
        <v>33537</v>
      </c>
      <c r="G193" t="e">
        <f t="shared" si="2"/>
        <v>#VALUE!</v>
      </c>
    </row>
    <row r="194" spans="1:7" hidden="1" x14ac:dyDescent="0.2">
      <c r="A194" s="1">
        <v>42091204008</v>
      </c>
      <c r="B194" s="2" t="s">
        <v>257</v>
      </c>
      <c r="C194" s="2">
        <v>33348</v>
      </c>
      <c r="G194" t="e">
        <f t="shared" si="2"/>
        <v>#VALUE!</v>
      </c>
    </row>
    <row r="195" spans="1:7" x14ac:dyDescent="0.2">
      <c r="A195" s="1">
        <v>42101037500</v>
      </c>
      <c r="B195" s="2" t="s">
        <v>214</v>
      </c>
      <c r="C195" s="2">
        <v>33331</v>
      </c>
      <c r="G195" t="str">
        <f t="shared" ref="G195:G258" si="3">MID($B195, FIND(",",$B195)+1, FIND(",",$B195,FIND(",",$B195)+1) -1 -FIND(",",$B195))</f>
        <v xml:space="preserve"> Philadelphia</v>
      </c>
    </row>
    <row r="196" spans="1:7" x14ac:dyDescent="0.2">
      <c r="A196" s="1">
        <v>42101020700</v>
      </c>
      <c r="B196" s="2" t="s">
        <v>266</v>
      </c>
      <c r="C196" s="2">
        <v>33324</v>
      </c>
      <c r="G196" t="str">
        <f t="shared" si="3"/>
        <v xml:space="preserve"> Philadelphia</v>
      </c>
    </row>
    <row r="197" spans="1:7" hidden="1" x14ac:dyDescent="0.2">
      <c r="A197" s="1">
        <v>42045401800</v>
      </c>
      <c r="B197" s="2" t="s">
        <v>229</v>
      </c>
      <c r="C197" s="2">
        <v>33310</v>
      </c>
      <c r="G197" t="e">
        <f t="shared" si="3"/>
        <v>#VALUE!</v>
      </c>
    </row>
    <row r="198" spans="1:7" x14ac:dyDescent="0.2">
      <c r="A198" s="1">
        <v>42101032000</v>
      </c>
      <c r="B198" s="2" t="s">
        <v>155</v>
      </c>
      <c r="C198" s="2">
        <v>33295</v>
      </c>
      <c r="G198" t="str">
        <f t="shared" si="3"/>
        <v xml:space="preserve"> Philadelphia</v>
      </c>
    </row>
    <row r="199" spans="1:7" hidden="1" x14ac:dyDescent="0.2">
      <c r="A199" s="1">
        <v>34007610900</v>
      </c>
      <c r="B199" s="2" t="s">
        <v>285</v>
      </c>
      <c r="C199" s="2">
        <v>33278</v>
      </c>
      <c r="G199" t="e">
        <f t="shared" si="3"/>
        <v>#VALUE!</v>
      </c>
    </row>
    <row r="200" spans="1:7" x14ac:dyDescent="0.2">
      <c r="A200" s="1">
        <v>42101033800</v>
      </c>
      <c r="B200" s="2" t="s">
        <v>297</v>
      </c>
      <c r="C200" s="2">
        <v>33206</v>
      </c>
      <c r="G200" t="str">
        <f t="shared" si="3"/>
        <v xml:space="preserve"> Philadelphia</v>
      </c>
    </row>
    <row r="201" spans="1:7" hidden="1" x14ac:dyDescent="0.2">
      <c r="A201" s="1">
        <v>34007602902</v>
      </c>
      <c r="B201" s="2" t="s">
        <v>228</v>
      </c>
      <c r="C201" s="2">
        <v>33167</v>
      </c>
      <c r="G201" t="e">
        <f t="shared" si="3"/>
        <v>#VALUE!</v>
      </c>
    </row>
    <row r="202" spans="1:7" hidden="1" x14ac:dyDescent="0.2">
      <c r="A202" s="1">
        <v>34007602601</v>
      </c>
      <c r="B202" s="2" t="s">
        <v>228</v>
      </c>
      <c r="C202" s="2">
        <v>33116</v>
      </c>
      <c r="G202" t="e">
        <f t="shared" si="3"/>
        <v>#VALUE!</v>
      </c>
    </row>
    <row r="203" spans="1:7" hidden="1" x14ac:dyDescent="0.2">
      <c r="A203" s="1">
        <v>34005700402</v>
      </c>
      <c r="B203" s="2" t="s">
        <v>240</v>
      </c>
      <c r="C203" s="2">
        <v>33098</v>
      </c>
      <c r="G203" t="e">
        <f t="shared" si="3"/>
        <v>#VALUE!</v>
      </c>
    </row>
    <row r="204" spans="1:7" x14ac:dyDescent="0.2">
      <c r="A204" s="1">
        <v>42101034802</v>
      </c>
      <c r="B204" s="2" t="s">
        <v>155</v>
      </c>
      <c r="C204" s="2">
        <v>33096</v>
      </c>
      <c r="G204" t="str">
        <f t="shared" si="3"/>
        <v xml:space="preserve"> Philadelphia</v>
      </c>
    </row>
    <row r="205" spans="1:7" x14ac:dyDescent="0.2">
      <c r="A205" s="1">
        <v>42101030600</v>
      </c>
      <c r="B205" s="2" t="s">
        <v>238</v>
      </c>
      <c r="C205" s="2">
        <v>32996</v>
      </c>
      <c r="G205" t="str">
        <f t="shared" si="3"/>
        <v xml:space="preserve"> Philadelphia</v>
      </c>
    </row>
    <row r="206" spans="1:7" x14ac:dyDescent="0.2">
      <c r="A206" s="1">
        <v>42101018002</v>
      </c>
      <c r="B206" s="2" t="s">
        <v>166</v>
      </c>
      <c r="C206" s="2">
        <v>32984</v>
      </c>
      <c r="G206" t="str">
        <f t="shared" si="3"/>
        <v xml:space="preserve"> Philadelphia</v>
      </c>
    </row>
    <row r="207" spans="1:7" x14ac:dyDescent="0.2">
      <c r="A207" s="1">
        <v>42101025700</v>
      </c>
      <c r="B207" s="2" t="s">
        <v>283</v>
      </c>
      <c r="C207" s="2">
        <v>32958</v>
      </c>
      <c r="G207" t="str">
        <f t="shared" si="3"/>
        <v xml:space="preserve"> Philadelphia</v>
      </c>
    </row>
    <row r="208" spans="1:7" x14ac:dyDescent="0.2">
      <c r="A208" s="1">
        <v>42101012500</v>
      </c>
      <c r="B208" s="2" t="s">
        <v>166</v>
      </c>
      <c r="C208" s="2">
        <v>32945</v>
      </c>
      <c r="G208" t="str">
        <f t="shared" si="3"/>
        <v xml:space="preserve"> Philadelphia</v>
      </c>
    </row>
    <row r="209" spans="1:7" hidden="1" x14ac:dyDescent="0.2">
      <c r="A209" s="1">
        <v>34007606700</v>
      </c>
      <c r="B209" s="2" t="s">
        <v>303</v>
      </c>
      <c r="C209" s="2">
        <v>32831</v>
      </c>
      <c r="G209" t="e">
        <f t="shared" si="3"/>
        <v>#VALUE!</v>
      </c>
    </row>
    <row r="210" spans="1:7" x14ac:dyDescent="0.2">
      <c r="A210" s="1">
        <v>42101025600</v>
      </c>
      <c r="B210" s="2" t="s">
        <v>217</v>
      </c>
      <c r="C210" s="2">
        <v>32756</v>
      </c>
      <c r="G210" t="str">
        <f t="shared" si="3"/>
        <v xml:space="preserve"> Philadelphia</v>
      </c>
    </row>
    <row r="211" spans="1:7" hidden="1" x14ac:dyDescent="0.2">
      <c r="A211" s="1">
        <v>42045403800</v>
      </c>
      <c r="B211" s="2" t="s">
        <v>291</v>
      </c>
      <c r="C211" s="2">
        <v>32747</v>
      </c>
      <c r="G211" t="e">
        <f t="shared" si="3"/>
        <v>#VALUE!</v>
      </c>
    </row>
    <row r="212" spans="1:7" hidden="1" x14ac:dyDescent="0.2">
      <c r="A212" s="1">
        <v>42045403502</v>
      </c>
      <c r="B212" s="2" t="s">
        <v>272</v>
      </c>
      <c r="C212" s="2">
        <v>32684</v>
      </c>
      <c r="G212" t="e">
        <f t="shared" si="3"/>
        <v>#VALUE!</v>
      </c>
    </row>
    <row r="213" spans="1:7" hidden="1" x14ac:dyDescent="0.2">
      <c r="A213" s="1">
        <v>42045403103</v>
      </c>
      <c r="B213" s="2" t="s">
        <v>250</v>
      </c>
      <c r="C213" s="2">
        <v>32680</v>
      </c>
      <c r="G213" t="e">
        <f t="shared" si="3"/>
        <v>#VALUE!</v>
      </c>
    </row>
    <row r="214" spans="1:7" hidden="1" x14ac:dyDescent="0.2">
      <c r="A214" s="1">
        <v>42045404103</v>
      </c>
      <c r="B214" s="2" t="s">
        <v>288</v>
      </c>
      <c r="C214" s="2">
        <v>32632</v>
      </c>
      <c r="G214" t="e">
        <f t="shared" si="3"/>
        <v>#VALUE!</v>
      </c>
    </row>
    <row r="215" spans="1:7" x14ac:dyDescent="0.2">
      <c r="A215" s="1">
        <v>42101021300</v>
      </c>
      <c r="B215" s="2" t="s">
        <v>255</v>
      </c>
      <c r="C215" s="2">
        <v>32629</v>
      </c>
      <c r="G215" t="str">
        <f t="shared" si="3"/>
        <v xml:space="preserve"> Philadelphia</v>
      </c>
    </row>
    <row r="216" spans="1:7" hidden="1" x14ac:dyDescent="0.2">
      <c r="A216" s="1">
        <v>42045403300</v>
      </c>
      <c r="B216" s="2" t="s">
        <v>263</v>
      </c>
      <c r="C216" s="2">
        <v>32593</v>
      </c>
      <c r="G216" t="e">
        <f t="shared" si="3"/>
        <v>#VALUE!</v>
      </c>
    </row>
    <row r="217" spans="1:7" hidden="1" x14ac:dyDescent="0.2">
      <c r="A217" s="1">
        <v>42091203106</v>
      </c>
      <c r="B217" s="2" t="s">
        <v>257</v>
      </c>
      <c r="C217" s="2">
        <v>32593</v>
      </c>
      <c r="G217" t="e">
        <f t="shared" si="3"/>
        <v>#VALUE!</v>
      </c>
    </row>
    <row r="218" spans="1:7" x14ac:dyDescent="0.2">
      <c r="A218" s="1">
        <v>42101001101</v>
      </c>
      <c r="B218" s="2" t="s">
        <v>235</v>
      </c>
      <c r="C218" s="2">
        <v>32569</v>
      </c>
      <c r="G218" t="str">
        <f t="shared" si="3"/>
        <v xml:space="preserve"> Philadelphia</v>
      </c>
    </row>
    <row r="219" spans="1:7" x14ac:dyDescent="0.2">
      <c r="A219" s="1">
        <v>42101034502</v>
      </c>
      <c r="B219" s="2" t="s">
        <v>277</v>
      </c>
      <c r="C219" s="2">
        <v>32549</v>
      </c>
      <c r="G219" t="str">
        <f t="shared" si="3"/>
        <v xml:space="preserve"> Philadelphia</v>
      </c>
    </row>
    <row r="220" spans="1:7" x14ac:dyDescent="0.2">
      <c r="A220" s="1">
        <v>42101033400</v>
      </c>
      <c r="B220" s="2" t="s">
        <v>155</v>
      </c>
      <c r="C220" s="2">
        <v>32547</v>
      </c>
      <c r="G220" t="str">
        <f t="shared" si="3"/>
        <v xml:space="preserve"> Philadelphia</v>
      </c>
    </row>
    <row r="221" spans="1:7" x14ac:dyDescent="0.2">
      <c r="A221" s="1">
        <v>42101018300</v>
      </c>
      <c r="B221" s="2" t="s">
        <v>280</v>
      </c>
      <c r="C221" s="2">
        <v>32480</v>
      </c>
      <c r="G221" t="str">
        <f t="shared" si="3"/>
        <v xml:space="preserve"> Philadelphia</v>
      </c>
    </row>
    <row r="222" spans="1:7" x14ac:dyDescent="0.2">
      <c r="A222" s="1">
        <v>42101027000</v>
      </c>
      <c r="B222" s="2" t="s">
        <v>166</v>
      </c>
      <c r="C222" s="2">
        <v>32479</v>
      </c>
      <c r="G222" t="str">
        <f t="shared" si="3"/>
        <v xml:space="preserve"> Philadelphia</v>
      </c>
    </row>
    <row r="223" spans="1:7" hidden="1" x14ac:dyDescent="0.2">
      <c r="A223" s="1">
        <v>42045402200</v>
      </c>
      <c r="B223" s="2" t="s">
        <v>239</v>
      </c>
      <c r="C223" s="2">
        <v>32448</v>
      </c>
      <c r="G223" t="e">
        <f t="shared" si="3"/>
        <v>#VALUE!</v>
      </c>
    </row>
    <row r="224" spans="1:7" x14ac:dyDescent="0.2">
      <c r="A224" s="1">
        <v>42101002900</v>
      </c>
      <c r="B224" s="2" t="s">
        <v>246</v>
      </c>
      <c r="C224" s="2">
        <v>32439</v>
      </c>
      <c r="G224" t="str">
        <f t="shared" si="3"/>
        <v xml:space="preserve"> Philadelphia</v>
      </c>
    </row>
    <row r="225" spans="1:7" x14ac:dyDescent="0.2">
      <c r="A225" s="1">
        <v>42101002802</v>
      </c>
      <c r="B225" s="2" t="s">
        <v>282</v>
      </c>
      <c r="C225" s="2">
        <v>32365</v>
      </c>
      <c r="G225" t="str">
        <f t="shared" si="3"/>
        <v xml:space="preserve"> Philadelphia</v>
      </c>
    </row>
    <row r="226" spans="1:7" x14ac:dyDescent="0.2">
      <c r="A226" s="1">
        <v>42101020900</v>
      </c>
      <c r="B226" s="2" t="s">
        <v>158</v>
      </c>
      <c r="C226" s="2">
        <v>32331</v>
      </c>
      <c r="G226" t="str">
        <f t="shared" si="3"/>
        <v xml:space="preserve"> Philadelphia</v>
      </c>
    </row>
    <row r="227" spans="1:7" hidden="1" x14ac:dyDescent="0.2">
      <c r="A227" s="1">
        <v>42045401700</v>
      </c>
      <c r="B227" s="2" t="s">
        <v>229</v>
      </c>
      <c r="C227" s="2">
        <v>32309</v>
      </c>
      <c r="G227" t="e">
        <f t="shared" si="3"/>
        <v>#VALUE!</v>
      </c>
    </row>
    <row r="228" spans="1:7" hidden="1" x14ac:dyDescent="0.2">
      <c r="A228" s="1">
        <v>42091205501</v>
      </c>
      <c r="B228" s="2" t="s">
        <v>245</v>
      </c>
      <c r="C228" s="2">
        <v>32287</v>
      </c>
      <c r="G228" t="e">
        <f t="shared" si="3"/>
        <v>#VALUE!</v>
      </c>
    </row>
    <row r="229" spans="1:7" x14ac:dyDescent="0.2">
      <c r="A229" s="1">
        <v>42101018400</v>
      </c>
      <c r="B229" s="2" t="s">
        <v>166</v>
      </c>
      <c r="C229" s="2">
        <v>32282</v>
      </c>
      <c r="G229" t="str">
        <f t="shared" si="3"/>
        <v xml:space="preserve"> Philadelphia</v>
      </c>
    </row>
    <row r="230" spans="1:7" hidden="1" x14ac:dyDescent="0.2">
      <c r="A230" s="1">
        <v>34007605300</v>
      </c>
      <c r="B230" s="2" t="s">
        <v>293</v>
      </c>
      <c r="C230" s="2">
        <v>32219</v>
      </c>
      <c r="G230" t="e">
        <f t="shared" si="3"/>
        <v>#VALUE!</v>
      </c>
    </row>
    <row r="231" spans="1:7" hidden="1" x14ac:dyDescent="0.2">
      <c r="A231" s="1">
        <v>42045407700</v>
      </c>
      <c r="B231" s="2" t="s">
        <v>281</v>
      </c>
      <c r="C231" s="2">
        <v>32191</v>
      </c>
      <c r="G231" t="e">
        <f t="shared" si="3"/>
        <v>#VALUE!</v>
      </c>
    </row>
    <row r="232" spans="1:7" hidden="1" x14ac:dyDescent="0.2">
      <c r="A232" s="1">
        <v>34007611100</v>
      </c>
      <c r="B232" s="2" t="s">
        <v>264</v>
      </c>
      <c r="C232" s="2">
        <v>32155</v>
      </c>
      <c r="G232" t="e">
        <f t="shared" si="3"/>
        <v>#VALUE!</v>
      </c>
    </row>
    <row r="233" spans="1:7" x14ac:dyDescent="0.2">
      <c r="A233" s="1">
        <v>42101002702</v>
      </c>
      <c r="B233" s="2" t="s">
        <v>289</v>
      </c>
      <c r="C233" s="2">
        <v>32150</v>
      </c>
      <c r="G233" t="str">
        <f t="shared" si="3"/>
        <v xml:space="preserve"> Philadelphia</v>
      </c>
    </row>
    <row r="234" spans="1:7" hidden="1" x14ac:dyDescent="0.2">
      <c r="A234" s="1">
        <v>34015500202</v>
      </c>
      <c r="B234" s="2" t="s">
        <v>270</v>
      </c>
      <c r="C234" s="2">
        <v>32128</v>
      </c>
      <c r="G234" t="e">
        <f t="shared" si="3"/>
        <v>#VALUE!</v>
      </c>
    </row>
    <row r="235" spans="1:7" x14ac:dyDescent="0.2">
      <c r="A235" s="1">
        <v>42101034900</v>
      </c>
      <c r="B235" s="2" t="s">
        <v>154</v>
      </c>
      <c r="C235" s="2">
        <v>32127</v>
      </c>
      <c r="G235" t="str">
        <f t="shared" si="3"/>
        <v xml:space="preserve"> Philadelphia</v>
      </c>
    </row>
    <row r="236" spans="1:7" x14ac:dyDescent="0.2">
      <c r="A236" s="1">
        <v>42101025500</v>
      </c>
      <c r="B236" s="2" t="s">
        <v>158</v>
      </c>
      <c r="C236" s="2">
        <v>32117</v>
      </c>
      <c r="G236" t="str">
        <f t="shared" si="3"/>
        <v xml:space="preserve"> Philadelphia</v>
      </c>
    </row>
    <row r="237" spans="1:7" hidden="1" x14ac:dyDescent="0.2">
      <c r="A237" s="1">
        <v>34005700401</v>
      </c>
      <c r="B237" s="2" t="s">
        <v>240</v>
      </c>
      <c r="C237" s="2">
        <v>32098</v>
      </c>
      <c r="G237" t="e">
        <f t="shared" si="3"/>
        <v>#VALUE!</v>
      </c>
    </row>
    <row r="238" spans="1:7" hidden="1" x14ac:dyDescent="0.2">
      <c r="A238" s="1">
        <v>34007605200</v>
      </c>
      <c r="B238" s="2" t="s">
        <v>242</v>
      </c>
      <c r="C238" s="2">
        <v>32030</v>
      </c>
      <c r="G238" t="e">
        <f t="shared" si="3"/>
        <v>#VALUE!</v>
      </c>
    </row>
    <row r="239" spans="1:7" hidden="1" x14ac:dyDescent="0.2">
      <c r="A239" s="1">
        <v>34007611600</v>
      </c>
      <c r="B239" s="2" t="s">
        <v>279</v>
      </c>
      <c r="C239" s="2">
        <v>32004</v>
      </c>
      <c r="G239" t="e">
        <f t="shared" si="3"/>
        <v>#VALUE!</v>
      </c>
    </row>
    <row r="240" spans="1:7" x14ac:dyDescent="0.2">
      <c r="A240" s="1">
        <v>42101003902</v>
      </c>
      <c r="B240" s="2" t="s">
        <v>156</v>
      </c>
      <c r="C240" s="2">
        <v>31998</v>
      </c>
      <c r="G240" t="str">
        <f t="shared" si="3"/>
        <v xml:space="preserve"> Philadelphia</v>
      </c>
    </row>
    <row r="241" spans="1:7" hidden="1" x14ac:dyDescent="0.2">
      <c r="A241" s="1">
        <v>34007603200</v>
      </c>
      <c r="B241" s="2" t="s">
        <v>290</v>
      </c>
      <c r="C241" s="2">
        <v>31939</v>
      </c>
      <c r="G241" t="e">
        <f t="shared" si="3"/>
        <v>#VALUE!</v>
      </c>
    </row>
    <row r="242" spans="1:7" hidden="1" x14ac:dyDescent="0.2">
      <c r="A242" s="1">
        <v>34007605100</v>
      </c>
      <c r="B242" s="2" t="s">
        <v>242</v>
      </c>
      <c r="C242" s="2">
        <v>31935</v>
      </c>
      <c r="G242" t="e">
        <f t="shared" si="3"/>
        <v>#VALUE!</v>
      </c>
    </row>
    <row r="243" spans="1:7" x14ac:dyDescent="0.2">
      <c r="A243" s="1">
        <v>42101001700</v>
      </c>
      <c r="B243" s="2" t="s">
        <v>259</v>
      </c>
      <c r="C243" s="2">
        <v>31901</v>
      </c>
      <c r="G243" t="str">
        <f t="shared" si="3"/>
        <v xml:space="preserve"> Philadelphia</v>
      </c>
    </row>
    <row r="244" spans="1:7" x14ac:dyDescent="0.2">
      <c r="A244" s="1">
        <v>42101031402</v>
      </c>
      <c r="B244" s="2" t="s">
        <v>249</v>
      </c>
      <c r="C244" s="2">
        <v>31873</v>
      </c>
      <c r="G244" t="str">
        <f t="shared" si="3"/>
        <v xml:space="preserve"> Philadelphia</v>
      </c>
    </row>
    <row r="245" spans="1:7" hidden="1" x14ac:dyDescent="0.2">
      <c r="A245" s="1">
        <v>34007602602</v>
      </c>
      <c r="B245" s="2" t="s">
        <v>228</v>
      </c>
      <c r="C245" s="2">
        <v>31860</v>
      </c>
      <c r="G245" t="e">
        <f t="shared" si="3"/>
        <v>#VALUE!</v>
      </c>
    </row>
    <row r="246" spans="1:7" x14ac:dyDescent="0.2">
      <c r="A246" s="1">
        <v>42101030502</v>
      </c>
      <c r="B246" s="2" t="s">
        <v>238</v>
      </c>
      <c r="C246" s="2">
        <v>31653</v>
      </c>
      <c r="G246" t="str">
        <f t="shared" si="3"/>
        <v xml:space="preserve"> Philadelphia</v>
      </c>
    </row>
    <row r="247" spans="1:7" hidden="1" x14ac:dyDescent="0.2">
      <c r="A247" s="1">
        <v>34015500300</v>
      </c>
      <c r="B247" s="2" t="s">
        <v>278</v>
      </c>
      <c r="C247" s="2">
        <v>31641</v>
      </c>
      <c r="G247" t="e">
        <f t="shared" si="3"/>
        <v>#VALUE!</v>
      </c>
    </row>
    <row r="248" spans="1:7" x14ac:dyDescent="0.2">
      <c r="A248" s="1">
        <v>42101031102</v>
      </c>
      <c r="B248" s="2" t="s">
        <v>249</v>
      </c>
      <c r="C248" s="2">
        <v>31576</v>
      </c>
      <c r="G248" t="str">
        <f t="shared" si="3"/>
        <v xml:space="preserve"> Philadelphia</v>
      </c>
    </row>
    <row r="249" spans="1:7" hidden="1" x14ac:dyDescent="0.2">
      <c r="A249" s="1">
        <v>34007603001</v>
      </c>
      <c r="B249" s="2" t="s">
        <v>276</v>
      </c>
      <c r="C249" s="2">
        <v>31504</v>
      </c>
      <c r="G249" t="e">
        <f t="shared" si="3"/>
        <v>#VALUE!</v>
      </c>
    </row>
    <row r="250" spans="1:7" x14ac:dyDescent="0.2">
      <c r="A250" s="1">
        <v>42101009000</v>
      </c>
      <c r="B250" s="2" t="s">
        <v>267</v>
      </c>
      <c r="C250" s="2">
        <v>31229</v>
      </c>
      <c r="G250" t="str">
        <f t="shared" si="3"/>
        <v xml:space="preserve"> Philadelphia</v>
      </c>
    </row>
    <row r="251" spans="1:7" x14ac:dyDescent="0.2">
      <c r="A251" s="1">
        <v>42101031700</v>
      </c>
      <c r="B251" s="2" t="s">
        <v>275</v>
      </c>
      <c r="C251" s="2">
        <v>31222</v>
      </c>
      <c r="G251" t="str">
        <f t="shared" si="3"/>
        <v xml:space="preserve"> Philadelphia</v>
      </c>
    </row>
    <row r="252" spans="1:7" hidden="1" x14ac:dyDescent="0.2">
      <c r="A252" s="1">
        <v>42045403101</v>
      </c>
      <c r="B252" s="2" t="s">
        <v>250</v>
      </c>
      <c r="C252" s="2">
        <v>31217</v>
      </c>
      <c r="G252" t="e">
        <f t="shared" si="3"/>
        <v>#VALUE!</v>
      </c>
    </row>
    <row r="253" spans="1:7" x14ac:dyDescent="0.2">
      <c r="A253" s="1">
        <v>42101006100</v>
      </c>
      <c r="B253" s="2" t="s">
        <v>210</v>
      </c>
      <c r="C253" s="2">
        <v>31134</v>
      </c>
      <c r="G253" t="str">
        <f t="shared" si="3"/>
        <v xml:space="preserve"> Philadelphia</v>
      </c>
    </row>
    <row r="254" spans="1:7" x14ac:dyDescent="0.2">
      <c r="A254" s="1">
        <v>42101021000</v>
      </c>
      <c r="B254" s="2" t="s">
        <v>255</v>
      </c>
      <c r="C254" s="2">
        <v>31131</v>
      </c>
      <c r="G254" t="str">
        <f t="shared" si="3"/>
        <v xml:space="preserve"> Philadelphia</v>
      </c>
    </row>
    <row r="255" spans="1:7" hidden="1" x14ac:dyDescent="0.2">
      <c r="A255" s="1">
        <v>42091205300</v>
      </c>
      <c r="B255" s="2" t="s">
        <v>245</v>
      </c>
      <c r="C255" s="2">
        <v>31099</v>
      </c>
      <c r="G255" t="e">
        <f t="shared" si="3"/>
        <v>#VALUE!</v>
      </c>
    </row>
    <row r="256" spans="1:7" x14ac:dyDescent="0.2">
      <c r="A256" s="1">
        <v>42101013602</v>
      </c>
      <c r="B256" s="2" t="s">
        <v>182</v>
      </c>
      <c r="C256" s="2">
        <v>31039</v>
      </c>
      <c r="G256" t="str">
        <f t="shared" si="3"/>
        <v xml:space="preserve"> Philadelphia</v>
      </c>
    </row>
    <row r="257" spans="1:7" x14ac:dyDescent="0.2">
      <c r="A257" s="1">
        <v>42101012100</v>
      </c>
      <c r="B257" s="2" t="s">
        <v>211</v>
      </c>
      <c r="C257" s="2">
        <v>30957</v>
      </c>
      <c r="G257" t="str">
        <f t="shared" si="3"/>
        <v xml:space="preserve"> Philadelphia</v>
      </c>
    </row>
    <row r="258" spans="1:7" hidden="1" x14ac:dyDescent="0.2">
      <c r="A258" s="1">
        <v>34005700403</v>
      </c>
      <c r="B258" s="2" t="s">
        <v>240</v>
      </c>
      <c r="C258" s="2">
        <v>30916</v>
      </c>
      <c r="G258" t="e">
        <f t="shared" si="3"/>
        <v>#VALUE!</v>
      </c>
    </row>
    <row r="259" spans="1:7" x14ac:dyDescent="0.2">
      <c r="A259" s="1">
        <v>42101031101</v>
      </c>
      <c r="B259" s="2" t="s">
        <v>249</v>
      </c>
      <c r="C259" s="2">
        <v>30901</v>
      </c>
      <c r="G259" t="str">
        <f t="shared" ref="G259:G322" si="4">MID($B259, FIND(",",$B259)+1, FIND(",",$B259,FIND(",",$B259)+1) -1 -FIND(",",$B259))</f>
        <v xml:space="preserve"> Philadelphia</v>
      </c>
    </row>
    <row r="260" spans="1:7" hidden="1" x14ac:dyDescent="0.2">
      <c r="A260" s="1">
        <v>34015501001</v>
      </c>
      <c r="B260" s="2" t="s">
        <v>270</v>
      </c>
      <c r="C260" s="2">
        <v>30812</v>
      </c>
      <c r="G260" t="e">
        <f t="shared" si="4"/>
        <v>#VALUE!</v>
      </c>
    </row>
    <row r="261" spans="1:7" hidden="1" x14ac:dyDescent="0.2">
      <c r="A261" s="1">
        <v>42045400401</v>
      </c>
      <c r="B261" s="2" t="s">
        <v>237</v>
      </c>
      <c r="C261" s="2">
        <v>30793</v>
      </c>
      <c r="G261" t="e">
        <f t="shared" si="4"/>
        <v>#VALUE!</v>
      </c>
    </row>
    <row r="262" spans="1:7" hidden="1" x14ac:dyDescent="0.2">
      <c r="A262" s="1">
        <v>34015501102</v>
      </c>
      <c r="B262" s="2" t="s">
        <v>270</v>
      </c>
      <c r="C262" s="2">
        <v>30767</v>
      </c>
      <c r="G262" t="e">
        <f t="shared" si="4"/>
        <v>#VALUE!</v>
      </c>
    </row>
    <row r="263" spans="1:7" hidden="1" x14ac:dyDescent="0.2">
      <c r="A263" s="1">
        <v>42045401301</v>
      </c>
      <c r="B263" s="2" t="s">
        <v>265</v>
      </c>
      <c r="C263" s="2">
        <v>30726</v>
      </c>
      <c r="G263" t="str">
        <f t="shared" si="4"/>
        <v xml:space="preserve"> Upper Darby</v>
      </c>
    </row>
    <row r="264" spans="1:7" x14ac:dyDescent="0.2">
      <c r="A264" s="1">
        <v>42101030200</v>
      </c>
      <c r="B264" s="2" t="s">
        <v>218</v>
      </c>
      <c r="C264" s="2">
        <v>30653</v>
      </c>
      <c r="G264" t="str">
        <f t="shared" si="4"/>
        <v xml:space="preserve"> Philadelphia</v>
      </c>
    </row>
    <row r="265" spans="1:7" x14ac:dyDescent="0.2">
      <c r="A265" s="1">
        <v>42101033000</v>
      </c>
      <c r="B265" s="2" t="s">
        <v>154</v>
      </c>
      <c r="C265" s="2">
        <v>30640</v>
      </c>
      <c r="G265" t="str">
        <f t="shared" si="4"/>
        <v xml:space="preserve"> Philadelphia</v>
      </c>
    </row>
    <row r="266" spans="1:7" x14ac:dyDescent="0.2">
      <c r="A266" s="1">
        <v>42101031401</v>
      </c>
      <c r="B266" s="2" t="s">
        <v>249</v>
      </c>
      <c r="C266" s="2">
        <v>30620</v>
      </c>
      <c r="G266" t="str">
        <f t="shared" si="4"/>
        <v xml:space="preserve"> Philadelphia</v>
      </c>
    </row>
    <row r="267" spans="1:7" x14ac:dyDescent="0.2">
      <c r="A267" s="1">
        <v>42101035100</v>
      </c>
      <c r="B267" s="2" t="s">
        <v>155</v>
      </c>
      <c r="C267" s="2">
        <v>30379</v>
      </c>
      <c r="G267" t="str">
        <f t="shared" si="4"/>
        <v xml:space="preserve"> Philadelphia</v>
      </c>
    </row>
    <row r="268" spans="1:7" x14ac:dyDescent="0.2">
      <c r="A268" s="1">
        <v>42101004001</v>
      </c>
      <c r="B268" s="2" t="s">
        <v>253</v>
      </c>
      <c r="C268" s="2">
        <v>30321</v>
      </c>
      <c r="G268" t="str">
        <f t="shared" si="4"/>
        <v xml:space="preserve"> Philadelphia</v>
      </c>
    </row>
    <row r="269" spans="1:7" hidden="1" x14ac:dyDescent="0.2">
      <c r="A269" s="1">
        <v>34015500100</v>
      </c>
      <c r="B269" s="2" t="s">
        <v>252</v>
      </c>
      <c r="C269" s="2">
        <v>30280</v>
      </c>
      <c r="G269" t="e">
        <f t="shared" si="4"/>
        <v>#VALUE!</v>
      </c>
    </row>
    <row r="270" spans="1:7" x14ac:dyDescent="0.2">
      <c r="A270" s="1">
        <v>42101037200</v>
      </c>
      <c r="B270" s="2" t="s">
        <v>156</v>
      </c>
      <c r="C270" s="2">
        <v>30197</v>
      </c>
      <c r="G270" t="str">
        <f t="shared" si="4"/>
        <v xml:space="preserve"> Philadelphia</v>
      </c>
    </row>
    <row r="271" spans="1:7" x14ac:dyDescent="0.2">
      <c r="A271" s="1">
        <v>42101012204</v>
      </c>
      <c r="B271" s="2" t="s">
        <v>153</v>
      </c>
      <c r="C271" s="2">
        <v>30163</v>
      </c>
      <c r="G271" t="str">
        <f t="shared" si="4"/>
        <v xml:space="preserve"> Philadelphia</v>
      </c>
    </row>
    <row r="272" spans="1:7" hidden="1" x14ac:dyDescent="0.2">
      <c r="A272" s="1">
        <v>42045403402</v>
      </c>
      <c r="B272" s="2" t="s">
        <v>260</v>
      </c>
      <c r="C272" s="2">
        <v>30124</v>
      </c>
      <c r="G272" t="e">
        <f t="shared" si="4"/>
        <v>#VALUE!</v>
      </c>
    </row>
    <row r="273" spans="1:7" hidden="1" x14ac:dyDescent="0.2">
      <c r="A273" s="1">
        <v>42091204200</v>
      </c>
      <c r="B273" s="2" t="s">
        <v>257</v>
      </c>
      <c r="C273" s="2">
        <v>29981</v>
      </c>
      <c r="G273" t="e">
        <f t="shared" si="4"/>
        <v>#VALUE!</v>
      </c>
    </row>
    <row r="274" spans="1:7" x14ac:dyDescent="0.2">
      <c r="A274" s="1">
        <v>42101030501</v>
      </c>
      <c r="B274" s="2" t="s">
        <v>238</v>
      </c>
      <c r="C274" s="2">
        <v>29975</v>
      </c>
      <c r="G274" t="str">
        <f t="shared" si="4"/>
        <v xml:space="preserve"> Philadelphia</v>
      </c>
    </row>
    <row r="275" spans="1:7" hidden="1" x14ac:dyDescent="0.2">
      <c r="A275" s="1">
        <v>34007607000</v>
      </c>
      <c r="B275" s="2" t="s">
        <v>264</v>
      </c>
      <c r="C275" s="2">
        <v>29941</v>
      </c>
      <c r="G275" t="e">
        <f t="shared" si="4"/>
        <v>#VALUE!</v>
      </c>
    </row>
    <row r="276" spans="1:7" x14ac:dyDescent="0.2">
      <c r="A276" s="1">
        <v>42101026100</v>
      </c>
      <c r="B276" s="2" t="s">
        <v>166</v>
      </c>
      <c r="C276" s="2">
        <v>29920</v>
      </c>
      <c r="G276" t="str">
        <f t="shared" si="4"/>
        <v xml:space="preserve"> Philadelphia</v>
      </c>
    </row>
    <row r="277" spans="1:7" x14ac:dyDescent="0.2">
      <c r="A277" s="1">
        <v>42101032900</v>
      </c>
      <c r="B277" s="2" t="s">
        <v>154</v>
      </c>
      <c r="C277" s="2">
        <v>29751</v>
      </c>
      <c r="G277" t="str">
        <f t="shared" si="4"/>
        <v xml:space="preserve"> Philadelphia</v>
      </c>
    </row>
    <row r="278" spans="1:7" x14ac:dyDescent="0.2">
      <c r="A278" s="1">
        <v>42101027100</v>
      </c>
      <c r="B278" s="2" t="s">
        <v>166</v>
      </c>
      <c r="C278" s="2">
        <v>29741</v>
      </c>
      <c r="G278" t="str">
        <f t="shared" si="4"/>
        <v xml:space="preserve"> Philadelphia</v>
      </c>
    </row>
    <row r="279" spans="1:7" x14ac:dyDescent="0.2">
      <c r="A279" s="1">
        <v>42101031300</v>
      </c>
      <c r="B279" s="2" t="s">
        <v>249</v>
      </c>
      <c r="C279" s="2">
        <v>29733</v>
      </c>
      <c r="G279" t="str">
        <f t="shared" si="4"/>
        <v xml:space="preserve"> Philadelphia</v>
      </c>
    </row>
    <row r="280" spans="1:7" x14ac:dyDescent="0.2">
      <c r="A280" s="1">
        <v>42101021400</v>
      </c>
      <c r="B280" s="2" t="s">
        <v>255</v>
      </c>
      <c r="C280" s="2">
        <v>29711</v>
      </c>
      <c r="G280" t="str">
        <f t="shared" si="4"/>
        <v xml:space="preserve"> Philadelphia</v>
      </c>
    </row>
    <row r="281" spans="1:7" hidden="1" x14ac:dyDescent="0.2">
      <c r="A281" s="1">
        <v>34007607300</v>
      </c>
      <c r="B281" s="2" t="s">
        <v>261</v>
      </c>
      <c r="C281" s="2">
        <v>29704</v>
      </c>
      <c r="G281" t="e">
        <f t="shared" si="4"/>
        <v>#VALUE!</v>
      </c>
    </row>
    <row r="282" spans="1:7" hidden="1" x14ac:dyDescent="0.2">
      <c r="A282" s="1">
        <v>34007610500</v>
      </c>
      <c r="B282" s="2" t="s">
        <v>228</v>
      </c>
      <c r="C282" s="2">
        <v>29655</v>
      </c>
      <c r="G282" t="e">
        <f t="shared" si="4"/>
        <v>#VALUE!</v>
      </c>
    </row>
    <row r="283" spans="1:7" x14ac:dyDescent="0.2">
      <c r="A283" s="1">
        <v>42101006000</v>
      </c>
      <c r="B283" s="2" t="s">
        <v>159</v>
      </c>
      <c r="C283" s="2">
        <v>29525</v>
      </c>
      <c r="G283" t="str">
        <f t="shared" si="4"/>
        <v xml:space="preserve"> Philadelphia</v>
      </c>
    </row>
    <row r="284" spans="1:7" hidden="1" x14ac:dyDescent="0.2">
      <c r="A284" s="1">
        <v>42091204102</v>
      </c>
      <c r="B284" s="2" t="s">
        <v>257</v>
      </c>
      <c r="C284" s="2">
        <v>29512</v>
      </c>
      <c r="G284" t="e">
        <f t="shared" si="4"/>
        <v>#VALUE!</v>
      </c>
    </row>
    <row r="285" spans="1:7" x14ac:dyDescent="0.2">
      <c r="A285" s="1">
        <v>42101003001</v>
      </c>
      <c r="B285" s="2" t="s">
        <v>201</v>
      </c>
      <c r="C285" s="2">
        <v>29428</v>
      </c>
      <c r="G285" t="str">
        <f t="shared" si="4"/>
        <v xml:space="preserve"> Philadelphia</v>
      </c>
    </row>
    <row r="286" spans="1:7" hidden="1" x14ac:dyDescent="0.2">
      <c r="A286" s="1">
        <v>42045402800</v>
      </c>
      <c r="B286" s="2" t="s">
        <v>219</v>
      </c>
      <c r="C286" s="2">
        <v>29381</v>
      </c>
      <c r="G286" t="e">
        <f t="shared" si="4"/>
        <v>#VALUE!</v>
      </c>
    </row>
    <row r="287" spans="1:7" hidden="1" x14ac:dyDescent="0.2">
      <c r="A287" s="1">
        <v>34007607402</v>
      </c>
      <c r="B287" s="2" t="s">
        <v>248</v>
      </c>
      <c r="C287" s="2">
        <v>29314</v>
      </c>
      <c r="G287" t="e">
        <f t="shared" si="4"/>
        <v>#VALUE!</v>
      </c>
    </row>
    <row r="288" spans="1:7" x14ac:dyDescent="0.2">
      <c r="A288" s="1">
        <v>42101000100</v>
      </c>
      <c r="B288" s="2" t="s">
        <v>235</v>
      </c>
      <c r="C288" s="2">
        <v>29311</v>
      </c>
      <c r="G288" t="str">
        <f t="shared" si="4"/>
        <v xml:space="preserve"> Philadelphia</v>
      </c>
    </row>
    <row r="289" spans="1:7" x14ac:dyDescent="0.2">
      <c r="A289" s="1">
        <v>42101005400</v>
      </c>
      <c r="B289" s="2" t="s">
        <v>157</v>
      </c>
      <c r="C289" s="2">
        <v>29309</v>
      </c>
      <c r="G289" t="str">
        <f t="shared" si="4"/>
        <v xml:space="preserve"> Philadelphia</v>
      </c>
    </row>
    <row r="290" spans="1:7" hidden="1" x14ac:dyDescent="0.2">
      <c r="A290" s="1">
        <v>42045404003</v>
      </c>
      <c r="B290" s="2" t="s">
        <v>263</v>
      </c>
      <c r="C290" s="2">
        <v>29289</v>
      </c>
      <c r="G290" t="e">
        <f t="shared" si="4"/>
        <v>#VALUE!</v>
      </c>
    </row>
    <row r="291" spans="1:7" x14ac:dyDescent="0.2">
      <c r="A291" s="1">
        <v>42101030900</v>
      </c>
      <c r="B291" s="2" t="s">
        <v>249</v>
      </c>
      <c r="C291" s="2">
        <v>29257</v>
      </c>
      <c r="G291" t="str">
        <f t="shared" si="4"/>
        <v xml:space="preserve"> Philadelphia</v>
      </c>
    </row>
    <row r="292" spans="1:7" hidden="1" x14ac:dyDescent="0.2">
      <c r="A292" s="1">
        <v>42045400402</v>
      </c>
      <c r="B292" s="2" t="s">
        <v>237</v>
      </c>
      <c r="C292" s="2">
        <v>29199</v>
      </c>
      <c r="G292" t="e">
        <f t="shared" si="4"/>
        <v>#VALUE!</v>
      </c>
    </row>
    <row r="293" spans="1:7" x14ac:dyDescent="0.2">
      <c r="A293" s="1">
        <v>42101031900</v>
      </c>
      <c r="B293" s="2" t="s">
        <v>155</v>
      </c>
      <c r="C293" s="2">
        <v>29159</v>
      </c>
      <c r="G293" t="str">
        <f t="shared" si="4"/>
        <v xml:space="preserve"> Philadelphia</v>
      </c>
    </row>
    <row r="294" spans="1:7" x14ac:dyDescent="0.2">
      <c r="A294" s="1">
        <v>42101027401</v>
      </c>
      <c r="B294" s="2" t="s">
        <v>166</v>
      </c>
      <c r="C294" s="2">
        <v>29063</v>
      </c>
      <c r="G294" t="str">
        <f t="shared" si="4"/>
        <v xml:space="preserve"> Philadelphia</v>
      </c>
    </row>
    <row r="295" spans="1:7" hidden="1" x14ac:dyDescent="0.2">
      <c r="A295" s="1">
        <v>42045402000</v>
      </c>
      <c r="B295" s="2" t="s">
        <v>229</v>
      </c>
      <c r="C295" s="2">
        <v>29044</v>
      </c>
      <c r="G295" t="e">
        <f t="shared" si="4"/>
        <v>#VALUE!</v>
      </c>
    </row>
    <row r="296" spans="1:7" x14ac:dyDescent="0.2">
      <c r="A296" s="1">
        <v>42101025400</v>
      </c>
      <c r="B296" s="2" t="s">
        <v>217</v>
      </c>
      <c r="C296" s="2">
        <v>29029</v>
      </c>
      <c r="G296" t="str">
        <f t="shared" si="4"/>
        <v xml:space="preserve"> Philadelphia</v>
      </c>
    </row>
    <row r="297" spans="1:7" hidden="1" x14ac:dyDescent="0.2">
      <c r="A297" s="1">
        <v>42045403401</v>
      </c>
      <c r="B297" s="2" t="s">
        <v>260</v>
      </c>
      <c r="C297" s="2">
        <v>29028</v>
      </c>
      <c r="G297" t="e">
        <f t="shared" si="4"/>
        <v>#VALUE!</v>
      </c>
    </row>
    <row r="298" spans="1:7" hidden="1" x14ac:dyDescent="0.2">
      <c r="A298" s="1">
        <v>34007607401</v>
      </c>
      <c r="B298" s="2" t="s">
        <v>248</v>
      </c>
      <c r="C298" s="2">
        <v>28948</v>
      </c>
      <c r="G298" t="e">
        <f t="shared" si="4"/>
        <v>#VALUE!</v>
      </c>
    </row>
    <row r="299" spans="1:7" x14ac:dyDescent="0.2">
      <c r="A299" s="1">
        <v>42101000901</v>
      </c>
      <c r="B299" s="2" t="s">
        <v>235</v>
      </c>
      <c r="C299" s="2">
        <v>28935</v>
      </c>
      <c r="G299" t="str">
        <f t="shared" si="4"/>
        <v xml:space="preserve"> Philadelphia</v>
      </c>
    </row>
    <row r="300" spans="1:7" hidden="1" x14ac:dyDescent="0.2">
      <c r="A300" s="1">
        <v>42045402600</v>
      </c>
      <c r="B300" s="2" t="s">
        <v>215</v>
      </c>
      <c r="C300" s="2">
        <v>28831</v>
      </c>
      <c r="G300" t="e">
        <f t="shared" si="4"/>
        <v>#VALUE!</v>
      </c>
    </row>
    <row r="301" spans="1:7" x14ac:dyDescent="0.2">
      <c r="A301" s="1">
        <v>42101002300</v>
      </c>
      <c r="B301" s="2" t="s">
        <v>246</v>
      </c>
      <c r="C301" s="2">
        <v>28786</v>
      </c>
      <c r="G301" t="str">
        <f t="shared" si="4"/>
        <v xml:space="preserve"> Philadelphia</v>
      </c>
    </row>
    <row r="302" spans="1:7" x14ac:dyDescent="0.2">
      <c r="A302" s="1">
        <v>42101027300</v>
      </c>
      <c r="B302" s="2" t="s">
        <v>166</v>
      </c>
      <c r="C302" s="2">
        <v>28765</v>
      </c>
      <c r="G302" t="str">
        <f t="shared" si="4"/>
        <v xml:space="preserve"> Philadelphia</v>
      </c>
    </row>
    <row r="303" spans="1:7" x14ac:dyDescent="0.2">
      <c r="A303" s="1">
        <v>42101031800</v>
      </c>
      <c r="B303" s="2" t="s">
        <v>249</v>
      </c>
      <c r="C303" s="2">
        <v>28725</v>
      </c>
      <c r="G303" t="str">
        <f t="shared" si="4"/>
        <v xml:space="preserve"> Philadelphia</v>
      </c>
    </row>
    <row r="304" spans="1:7" x14ac:dyDescent="0.2">
      <c r="A304" s="1">
        <v>42101030100</v>
      </c>
      <c r="B304" s="2" t="s">
        <v>218</v>
      </c>
      <c r="C304" s="2">
        <v>28724</v>
      </c>
      <c r="G304" t="str">
        <f t="shared" si="4"/>
        <v xml:space="preserve"> Philadelphia</v>
      </c>
    </row>
    <row r="305" spans="1:7" x14ac:dyDescent="0.2">
      <c r="A305" s="1">
        <v>42101014300</v>
      </c>
      <c r="B305" s="2" t="s">
        <v>244</v>
      </c>
      <c r="C305" s="2">
        <v>28717</v>
      </c>
      <c r="G305" t="str">
        <f t="shared" si="4"/>
        <v xml:space="preserve"> Philadelphia</v>
      </c>
    </row>
    <row r="306" spans="1:7" x14ac:dyDescent="0.2">
      <c r="A306" s="1">
        <v>42101009802</v>
      </c>
      <c r="B306" s="2" t="s">
        <v>214</v>
      </c>
      <c r="C306" s="2">
        <v>28690</v>
      </c>
      <c r="G306" t="str">
        <f t="shared" si="4"/>
        <v xml:space="preserve"> Philadelphia</v>
      </c>
    </row>
    <row r="307" spans="1:7" x14ac:dyDescent="0.2">
      <c r="A307" s="1">
        <v>42101029100</v>
      </c>
      <c r="B307" s="2" t="s">
        <v>238</v>
      </c>
      <c r="C307" s="2">
        <v>28683</v>
      </c>
      <c r="G307" t="str">
        <f t="shared" si="4"/>
        <v xml:space="preserve"> Philadelphia</v>
      </c>
    </row>
    <row r="308" spans="1:7" x14ac:dyDescent="0.2">
      <c r="A308" s="1">
        <v>42101019000</v>
      </c>
      <c r="B308" s="2" t="s">
        <v>166</v>
      </c>
      <c r="C308" s="2">
        <v>28596</v>
      </c>
      <c r="G308" t="str">
        <f t="shared" si="4"/>
        <v xml:space="preserve"> Philadelphia</v>
      </c>
    </row>
    <row r="309" spans="1:7" hidden="1" x14ac:dyDescent="0.2">
      <c r="A309" s="1">
        <v>34005700103</v>
      </c>
      <c r="B309" s="2" t="s">
        <v>236</v>
      </c>
      <c r="C309" s="2">
        <v>28556</v>
      </c>
      <c r="G309" t="e">
        <f t="shared" si="4"/>
        <v>#VALUE!</v>
      </c>
    </row>
    <row r="310" spans="1:7" x14ac:dyDescent="0.2">
      <c r="A310" s="1">
        <v>42101005000</v>
      </c>
      <c r="B310" s="2" t="s">
        <v>251</v>
      </c>
      <c r="C310" s="2">
        <v>28553</v>
      </c>
      <c r="G310" t="str">
        <f t="shared" si="4"/>
        <v xml:space="preserve"> Philadelphia</v>
      </c>
    </row>
    <row r="311" spans="1:7" x14ac:dyDescent="0.2">
      <c r="A311" s="1">
        <v>42101004201</v>
      </c>
      <c r="B311" s="2" t="s">
        <v>156</v>
      </c>
      <c r="C311" s="2">
        <v>28518</v>
      </c>
      <c r="G311" t="str">
        <f t="shared" si="4"/>
        <v xml:space="preserve"> Philadelphia</v>
      </c>
    </row>
    <row r="312" spans="1:7" hidden="1" x14ac:dyDescent="0.2">
      <c r="A312" s="1">
        <v>42045402300</v>
      </c>
      <c r="B312" s="2" t="s">
        <v>229</v>
      </c>
      <c r="C312" s="2">
        <v>28506</v>
      </c>
      <c r="G312" t="e">
        <f t="shared" si="4"/>
        <v>#VALUE!</v>
      </c>
    </row>
    <row r="313" spans="1:7" x14ac:dyDescent="0.2">
      <c r="A313" s="1">
        <v>42101018001</v>
      </c>
      <c r="B313" s="2" t="s">
        <v>166</v>
      </c>
      <c r="C313" s="2">
        <v>28492</v>
      </c>
      <c r="G313" t="str">
        <f t="shared" si="4"/>
        <v xml:space="preserve"> Philadelphia</v>
      </c>
    </row>
    <row r="314" spans="1:7" hidden="1" x14ac:dyDescent="0.2">
      <c r="A314" s="1">
        <v>42045400500</v>
      </c>
      <c r="B314" s="2" t="s">
        <v>237</v>
      </c>
      <c r="C314" s="2">
        <v>28482</v>
      </c>
      <c r="G314" t="e">
        <f t="shared" si="4"/>
        <v>#VALUE!</v>
      </c>
    </row>
    <row r="315" spans="1:7" x14ac:dyDescent="0.2">
      <c r="A315" s="1">
        <v>42101031200</v>
      </c>
      <c r="B315" s="2" t="s">
        <v>249</v>
      </c>
      <c r="C315" s="2">
        <v>28450</v>
      </c>
      <c r="G315" t="str">
        <f t="shared" si="4"/>
        <v xml:space="preserve"> Philadelphia</v>
      </c>
    </row>
    <row r="316" spans="1:7" x14ac:dyDescent="0.2">
      <c r="A316" s="1">
        <v>42101005500</v>
      </c>
      <c r="B316" s="2" t="s">
        <v>157</v>
      </c>
      <c r="C316" s="2">
        <v>28296</v>
      </c>
      <c r="G316" t="str">
        <f t="shared" si="4"/>
        <v xml:space="preserve"> Philadelphia</v>
      </c>
    </row>
    <row r="317" spans="1:7" x14ac:dyDescent="0.2">
      <c r="A317" s="1">
        <v>42101032300</v>
      </c>
      <c r="B317" s="2" t="s">
        <v>155</v>
      </c>
      <c r="C317" s="2">
        <v>28294</v>
      </c>
      <c r="G317" t="str">
        <f t="shared" si="4"/>
        <v xml:space="preserve"> Philadelphia</v>
      </c>
    </row>
    <row r="318" spans="1:7" x14ac:dyDescent="0.2">
      <c r="A318" s="1">
        <v>42101032500</v>
      </c>
      <c r="B318" s="2" t="s">
        <v>155</v>
      </c>
      <c r="C318" s="2">
        <v>28277</v>
      </c>
      <c r="G318" t="str">
        <f t="shared" si="4"/>
        <v xml:space="preserve"> Philadelphia</v>
      </c>
    </row>
    <row r="319" spans="1:7" x14ac:dyDescent="0.2">
      <c r="A319" s="1">
        <v>42101029000</v>
      </c>
      <c r="B319" s="2" t="s">
        <v>166</v>
      </c>
      <c r="C319" s="2">
        <v>28170</v>
      </c>
      <c r="G319" t="str">
        <f t="shared" si="4"/>
        <v xml:space="preserve"> Philadelphia</v>
      </c>
    </row>
    <row r="320" spans="1:7" x14ac:dyDescent="0.2">
      <c r="A320" s="1">
        <v>42101026200</v>
      </c>
      <c r="B320" s="2" t="s">
        <v>166</v>
      </c>
      <c r="C320" s="2">
        <v>28096</v>
      </c>
      <c r="G320" t="str">
        <f t="shared" si="4"/>
        <v xml:space="preserve"> Philadelphia</v>
      </c>
    </row>
    <row r="321" spans="1:7" x14ac:dyDescent="0.2">
      <c r="A321" s="1">
        <v>42101038900</v>
      </c>
      <c r="B321" s="2" t="s">
        <v>158</v>
      </c>
      <c r="C321" s="2">
        <v>28018</v>
      </c>
      <c r="G321" t="str">
        <f t="shared" si="4"/>
        <v xml:space="preserve"> Philadelphia</v>
      </c>
    </row>
    <row r="322" spans="1:7" x14ac:dyDescent="0.2">
      <c r="A322" s="1">
        <v>42101004002</v>
      </c>
      <c r="B322" s="2" t="s">
        <v>253</v>
      </c>
      <c r="C322" s="2">
        <v>27997</v>
      </c>
      <c r="G322" t="str">
        <f t="shared" si="4"/>
        <v xml:space="preserve"> Philadelphia</v>
      </c>
    </row>
    <row r="323" spans="1:7" x14ac:dyDescent="0.2">
      <c r="A323" s="1">
        <v>42101000600</v>
      </c>
      <c r="B323" s="2" t="s">
        <v>235</v>
      </c>
      <c r="C323" s="2">
        <v>27965</v>
      </c>
      <c r="G323" t="str">
        <f t="shared" ref="G323:G386" si="5">MID($B323, FIND(",",$B323)+1, FIND(",",$B323,FIND(",",$B323)+1) -1 -FIND(",",$B323))</f>
        <v xml:space="preserve"> Philadelphia</v>
      </c>
    </row>
    <row r="324" spans="1:7" hidden="1" x14ac:dyDescent="0.2">
      <c r="A324" s="1">
        <v>42045403104</v>
      </c>
      <c r="B324" s="2" t="s">
        <v>250</v>
      </c>
      <c r="C324" s="2">
        <v>27929</v>
      </c>
      <c r="G324" t="e">
        <f t="shared" si="5"/>
        <v>#VALUE!</v>
      </c>
    </row>
    <row r="325" spans="1:7" hidden="1" x14ac:dyDescent="0.2">
      <c r="A325" s="1">
        <v>42045402100</v>
      </c>
      <c r="B325" s="2" t="s">
        <v>229</v>
      </c>
      <c r="C325" s="2">
        <v>27874</v>
      </c>
      <c r="G325" t="e">
        <f t="shared" si="5"/>
        <v>#VALUE!</v>
      </c>
    </row>
    <row r="326" spans="1:7" hidden="1" x14ac:dyDescent="0.2">
      <c r="A326" s="1">
        <v>42045403702</v>
      </c>
      <c r="B326" s="2" t="s">
        <v>254</v>
      </c>
      <c r="C326" s="2">
        <v>27829</v>
      </c>
      <c r="G326" t="str">
        <f t="shared" si="5"/>
        <v xml:space="preserve"> Tinicum Township</v>
      </c>
    </row>
    <row r="327" spans="1:7" x14ac:dyDescent="0.2">
      <c r="A327" s="1">
        <v>42101011700</v>
      </c>
      <c r="B327" s="2" t="s">
        <v>160</v>
      </c>
      <c r="C327" s="2">
        <v>27734</v>
      </c>
      <c r="G327" t="str">
        <f t="shared" si="5"/>
        <v xml:space="preserve"> Philadelphia</v>
      </c>
    </row>
    <row r="328" spans="1:7" x14ac:dyDescent="0.2">
      <c r="A328" s="1">
        <v>42101004202</v>
      </c>
      <c r="B328" s="2" t="s">
        <v>156</v>
      </c>
      <c r="C328" s="2">
        <v>27694</v>
      </c>
      <c r="G328" t="str">
        <f t="shared" si="5"/>
        <v xml:space="preserve"> Philadelphia</v>
      </c>
    </row>
    <row r="329" spans="1:7" x14ac:dyDescent="0.2">
      <c r="A329" s="1">
        <v>42101038000</v>
      </c>
      <c r="B329" s="2" t="s">
        <v>218</v>
      </c>
      <c r="C329" s="2">
        <v>27685</v>
      </c>
      <c r="G329" t="str">
        <f t="shared" si="5"/>
        <v xml:space="preserve"> Philadelphia</v>
      </c>
    </row>
    <row r="330" spans="1:7" hidden="1" x14ac:dyDescent="0.2">
      <c r="A330" s="1">
        <v>42045400801</v>
      </c>
      <c r="B330" s="2" t="s">
        <v>237</v>
      </c>
      <c r="C330" s="2">
        <v>27540</v>
      </c>
      <c r="G330" t="e">
        <f t="shared" si="5"/>
        <v>#VALUE!</v>
      </c>
    </row>
    <row r="331" spans="1:7" hidden="1" x14ac:dyDescent="0.2">
      <c r="A331" s="1">
        <v>42045404300</v>
      </c>
      <c r="B331" s="2" t="s">
        <v>247</v>
      </c>
      <c r="C331" s="2">
        <v>27531</v>
      </c>
      <c r="G331" t="e">
        <f t="shared" si="5"/>
        <v>#VALUE!</v>
      </c>
    </row>
    <row r="332" spans="1:7" hidden="1" x14ac:dyDescent="0.2">
      <c r="A332" s="1">
        <v>34015501101</v>
      </c>
      <c r="B332" s="2" t="s">
        <v>252</v>
      </c>
      <c r="C332" s="2">
        <v>27484</v>
      </c>
      <c r="G332" t="e">
        <f t="shared" si="5"/>
        <v>#VALUE!</v>
      </c>
    </row>
    <row r="333" spans="1:7" x14ac:dyDescent="0.2">
      <c r="A333" s="1">
        <v>42101027200</v>
      </c>
      <c r="B333" s="2" t="s">
        <v>166</v>
      </c>
      <c r="C333" s="2">
        <v>27427</v>
      </c>
      <c r="G333" t="str">
        <f t="shared" si="5"/>
        <v xml:space="preserve"> Philadelphia</v>
      </c>
    </row>
    <row r="334" spans="1:7" x14ac:dyDescent="0.2">
      <c r="A334" s="1">
        <v>42101036700</v>
      </c>
      <c r="B334" s="2" t="s">
        <v>166</v>
      </c>
      <c r="C334" s="2">
        <v>27426</v>
      </c>
      <c r="G334" t="str">
        <f t="shared" si="5"/>
        <v xml:space="preserve"> Philadelphia</v>
      </c>
    </row>
    <row r="335" spans="1:7" x14ac:dyDescent="0.2">
      <c r="A335" s="1">
        <v>42101002400</v>
      </c>
      <c r="B335" s="2" t="s">
        <v>233</v>
      </c>
      <c r="C335" s="2">
        <v>27386</v>
      </c>
      <c r="G335" t="str">
        <f t="shared" si="5"/>
        <v xml:space="preserve"> Philadelphia</v>
      </c>
    </row>
    <row r="336" spans="1:7" x14ac:dyDescent="0.2">
      <c r="A336" s="1">
        <v>42101009801</v>
      </c>
      <c r="B336" s="2" t="s">
        <v>214</v>
      </c>
      <c r="C336" s="2">
        <v>27379</v>
      </c>
      <c r="G336" t="str">
        <f t="shared" si="5"/>
        <v xml:space="preserve"> Philadelphia</v>
      </c>
    </row>
    <row r="337" spans="1:7" x14ac:dyDescent="0.2">
      <c r="A337" s="1">
        <v>42101019100</v>
      </c>
      <c r="B337" s="2" t="s">
        <v>220</v>
      </c>
      <c r="C337" s="2">
        <v>27290</v>
      </c>
      <c r="G337" t="str">
        <f t="shared" si="5"/>
        <v xml:space="preserve"> Philadelphia</v>
      </c>
    </row>
    <row r="338" spans="1:7" x14ac:dyDescent="0.2">
      <c r="A338" s="1">
        <v>42101039000</v>
      </c>
      <c r="B338" s="2" t="s">
        <v>155</v>
      </c>
      <c r="C338" s="2">
        <v>27285</v>
      </c>
      <c r="G338" t="str">
        <f t="shared" si="5"/>
        <v xml:space="preserve"> Philadelphia</v>
      </c>
    </row>
    <row r="339" spans="1:7" hidden="1" x14ac:dyDescent="0.2">
      <c r="A339" s="1">
        <v>34005700407</v>
      </c>
      <c r="B339" s="2" t="s">
        <v>240</v>
      </c>
      <c r="C339" s="2">
        <v>27281</v>
      </c>
      <c r="G339" t="e">
        <f t="shared" si="5"/>
        <v>#VALUE!</v>
      </c>
    </row>
    <row r="340" spans="1:7" x14ac:dyDescent="0.2">
      <c r="A340" s="1">
        <v>42101023700</v>
      </c>
      <c r="B340" s="2" t="s">
        <v>232</v>
      </c>
      <c r="C340" s="2">
        <v>27264</v>
      </c>
      <c r="G340" t="str">
        <f t="shared" si="5"/>
        <v xml:space="preserve"> Philadelphia</v>
      </c>
    </row>
    <row r="341" spans="1:7" x14ac:dyDescent="0.2">
      <c r="A341" s="1">
        <v>42101015800</v>
      </c>
      <c r="B341" s="2" t="s">
        <v>244</v>
      </c>
      <c r="C341" s="2">
        <v>26994</v>
      </c>
      <c r="G341" t="str">
        <f t="shared" si="5"/>
        <v xml:space="preserve"> Philadelphia</v>
      </c>
    </row>
    <row r="342" spans="1:7" x14ac:dyDescent="0.2">
      <c r="A342" s="1">
        <v>42101025900</v>
      </c>
      <c r="B342" s="2" t="s">
        <v>166</v>
      </c>
      <c r="C342" s="2">
        <v>26928</v>
      </c>
      <c r="G342" t="str">
        <f t="shared" si="5"/>
        <v xml:space="preserve"> Philadelphia</v>
      </c>
    </row>
    <row r="343" spans="1:7" x14ac:dyDescent="0.2">
      <c r="A343" s="1">
        <v>42101006400</v>
      </c>
      <c r="B343" s="2" t="s">
        <v>210</v>
      </c>
      <c r="C343" s="2">
        <v>26906</v>
      </c>
      <c r="G343" t="str">
        <f t="shared" si="5"/>
        <v xml:space="preserve"> Philadelphia</v>
      </c>
    </row>
    <row r="344" spans="1:7" x14ac:dyDescent="0.2">
      <c r="A344" s="1">
        <v>42101029200</v>
      </c>
      <c r="B344" s="2" t="s">
        <v>238</v>
      </c>
      <c r="C344" s="2">
        <v>26861</v>
      </c>
      <c r="G344" t="str">
        <f t="shared" si="5"/>
        <v xml:space="preserve"> Philadelphia</v>
      </c>
    </row>
    <row r="345" spans="1:7" x14ac:dyDescent="0.2">
      <c r="A345" s="1">
        <v>42101026301</v>
      </c>
      <c r="B345" s="2" t="s">
        <v>166</v>
      </c>
      <c r="C345" s="2">
        <v>26599</v>
      </c>
      <c r="G345" t="str">
        <f t="shared" si="5"/>
        <v xml:space="preserve"> Philadelphia</v>
      </c>
    </row>
    <row r="346" spans="1:7" x14ac:dyDescent="0.2">
      <c r="A346" s="1">
        <v>42101037800</v>
      </c>
      <c r="B346" s="2" t="s">
        <v>166</v>
      </c>
      <c r="C346" s="2">
        <v>26527</v>
      </c>
      <c r="G346" t="str">
        <f t="shared" si="5"/>
        <v xml:space="preserve"> Philadelphia</v>
      </c>
    </row>
    <row r="347" spans="1:7" x14ac:dyDescent="0.2">
      <c r="A347" s="1">
        <v>42101010000</v>
      </c>
      <c r="B347" s="2" t="s">
        <v>160</v>
      </c>
      <c r="C347" s="2">
        <v>26525</v>
      </c>
      <c r="G347" t="str">
        <f t="shared" si="5"/>
        <v xml:space="preserve"> Philadelphia</v>
      </c>
    </row>
    <row r="348" spans="1:7" hidden="1" x14ac:dyDescent="0.2">
      <c r="A348" s="1">
        <v>42045400302</v>
      </c>
      <c r="B348" s="2" t="s">
        <v>229</v>
      </c>
      <c r="C348" s="2">
        <v>26468</v>
      </c>
      <c r="G348" t="e">
        <f t="shared" si="5"/>
        <v>#VALUE!</v>
      </c>
    </row>
    <row r="349" spans="1:7" x14ac:dyDescent="0.2">
      <c r="A349" s="1">
        <v>42101008601</v>
      </c>
      <c r="B349" s="2" t="s">
        <v>234</v>
      </c>
      <c r="C349" s="2">
        <v>26421</v>
      </c>
      <c r="G349" t="str">
        <f t="shared" si="5"/>
        <v xml:space="preserve"> Philadelphia</v>
      </c>
    </row>
    <row r="350" spans="1:7" x14ac:dyDescent="0.2">
      <c r="A350" s="1">
        <v>42101016000</v>
      </c>
      <c r="B350" s="2" t="s">
        <v>166</v>
      </c>
      <c r="C350" s="2">
        <v>26382</v>
      </c>
      <c r="G350" t="str">
        <f t="shared" si="5"/>
        <v xml:space="preserve"> Philadelphia</v>
      </c>
    </row>
    <row r="351" spans="1:7" x14ac:dyDescent="0.2">
      <c r="A351" s="1">
        <v>42101029800</v>
      </c>
      <c r="B351" s="2" t="s">
        <v>155</v>
      </c>
      <c r="C351" s="2">
        <v>26361</v>
      </c>
      <c r="G351" t="str">
        <f t="shared" si="5"/>
        <v xml:space="preserve"> Philadelphia</v>
      </c>
    </row>
    <row r="352" spans="1:7" x14ac:dyDescent="0.2">
      <c r="A352" s="1">
        <v>42101026400</v>
      </c>
      <c r="B352" s="2" t="s">
        <v>166</v>
      </c>
      <c r="C352" s="2">
        <v>26299</v>
      </c>
      <c r="G352" t="str">
        <f t="shared" si="5"/>
        <v xml:space="preserve"> Philadelphia</v>
      </c>
    </row>
    <row r="353" spans="1:7" hidden="1" x14ac:dyDescent="0.2">
      <c r="A353" s="1">
        <v>34007603002</v>
      </c>
      <c r="B353" s="2" t="s">
        <v>228</v>
      </c>
      <c r="C353" s="2">
        <v>26250</v>
      </c>
      <c r="G353" t="e">
        <f t="shared" si="5"/>
        <v>#VALUE!</v>
      </c>
    </row>
    <row r="354" spans="1:7" x14ac:dyDescent="0.2">
      <c r="A354" s="1">
        <v>42101034600</v>
      </c>
      <c r="B354" s="2" t="s">
        <v>155</v>
      </c>
      <c r="C354" s="2">
        <v>26171</v>
      </c>
      <c r="G354" t="str">
        <f t="shared" si="5"/>
        <v xml:space="preserve"> Philadelphia</v>
      </c>
    </row>
    <row r="355" spans="1:7" x14ac:dyDescent="0.2">
      <c r="A355" s="1">
        <v>42101003901</v>
      </c>
      <c r="B355" s="2" t="s">
        <v>156</v>
      </c>
      <c r="C355" s="2">
        <v>26170</v>
      </c>
      <c r="G355" t="str">
        <f t="shared" si="5"/>
        <v xml:space="preserve"> Philadelphia</v>
      </c>
    </row>
    <row r="356" spans="1:7" x14ac:dyDescent="0.2">
      <c r="A356" s="1">
        <v>42101032100</v>
      </c>
      <c r="B356" s="2" t="s">
        <v>155</v>
      </c>
      <c r="C356" s="2">
        <v>26160</v>
      </c>
      <c r="G356" t="str">
        <f t="shared" si="5"/>
        <v xml:space="preserve"> Philadelphia</v>
      </c>
    </row>
    <row r="357" spans="1:7" hidden="1" x14ac:dyDescent="0.2">
      <c r="A357" s="1">
        <v>34007610800</v>
      </c>
      <c r="B357" s="2" t="s">
        <v>228</v>
      </c>
      <c r="C357" s="2">
        <v>26081</v>
      </c>
      <c r="G357" t="e">
        <f t="shared" si="5"/>
        <v>#VALUE!</v>
      </c>
    </row>
    <row r="358" spans="1:7" hidden="1" x14ac:dyDescent="0.2">
      <c r="A358" s="1">
        <v>34007602503</v>
      </c>
      <c r="B358" s="2" t="s">
        <v>228</v>
      </c>
      <c r="C358" s="2">
        <v>25973</v>
      </c>
      <c r="G358" t="e">
        <f t="shared" si="5"/>
        <v>#VALUE!</v>
      </c>
    </row>
    <row r="359" spans="1:7" x14ac:dyDescent="0.2">
      <c r="A359" s="1">
        <v>42101026800</v>
      </c>
      <c r="B359" s="2" t="s">
        <v>166</v>
      </c>
      <c r="C359" s="2">
        <v>25845</v>
      </c>
      <c r="G359" t="str">
        <f t="shared" si="5"/>
        <v xml:space="preserve"> Philadelphia</v>
      </c>
    </row>
    <row r="360" spans="1:7" x14ac:dyDescent="0.2">
      <c r="A360" s="1">
        <v>42101001800</v>
      </c>
      <c r="B360" s="2" t="s">
        <v>233</v>
      </c>
      <c r="C360" s="2">
        <v>25730</v>
      </c>
      <c r="G360" t="str">
        <f t="shared" si="5"/>
        <v xml:space="preserve"> Philadelphia</v>
      </c>
    </row>
    <row r="361" spans="1:7" x14ac:dyDescent="0.2">
      <c r="A361" s="1">
        <v>42101012000</v>
      </c>
      <c r="B361" s="2" t="s">
        <v>160</v>
      </c>
      <c r="C361" s="2">
        <v>25653</v>
      </c>
      <c r="G361" t="str">
        <f t="shared" si="5"/>
        <v xml:space="preserve"> Philadelphia</v>
      </c>
    </row>
    <row r="362" spans="1:7" x14ac:dyDescent="0.2">
      <c r="A362" s="1">
        <v>42101007900</v>
      </c>
      <c r="B362" s="2" t="s">
        <v>231</v>
      </c>
      <c r="C362" s="2">
        <v>25649</v>
      </c>
      <c r="G362" t="str">
        <f t="shared" si="5"/>
        <v xml:space="preserve"> Philadelphia</v>
      </c>
    </row>
    <row r="363" spans="1:7" x14ac:dyDescent="0.2">
      <c r="A363" s="1">
        <v>42101028500</v>
      </c>
      <c r="B363" s="2" t="s">
        <v>166</v>
      </c>
      <c r="C363" s="2">
        <v>25639</v>
      </c>
      <c r="G363" t="str">
        <f t="shared" si="5"/>
        <v xml:space="preserve"> Philadelphia</v>
      </c>
    </row>
    <row r="364" spans="1:7" x14ac:dyDescent="0.2">
      <c r="A364" s="1">
        <v>42101002801</v>
      </c>
      <c r="B364" s="2" t="s">
        <v>156</v>
      </c>
      <c r="C364" s="2">
        <v>25631</v>
      </c>
      <c r="G364" t="str">
        <f t="shared" si="5"/>
        <v xml:space="preserve"> Philadelphia</v>
      </c>
    </row>
    <row r="365" spans="1:7" x14ac:dyDescent="0.2">
      <c r="A365" s="1">
        <v>42101006700</v>
      </c>
      <c r="B365" s="2" t="s">
        <v>210</v>
      </c>
      <c r="C365" s="2">
        <v>25606</v>
      </c>
      <c r="G365" t="str">
        <f t="shared" si="5"/>
        <v xml:space="preserve"> Philadelphia</v>
      </c>
    </row>
    <row r="366" spans="1:7" hidden="1" x14ac:dyDescent="0.2">
      <c r="A366" s="1">
        <v>42091202401</v>
      </c>
      <c r="B366" s="2" t="s">
        <v>226</v>
      </c>
      <c r="C366" s="2">
        <v>25605</v>
      </c>
      <c r="G366" t="e">
        <f t="shared" si="5"/>
        <v>#VALUE!</v>
      </c>
    </row>
    <row r="367" spans="1:7" x14ac:dyDescent="0.2">
      <c r="A367" s="1">
        <v>42101027500</v>
      </c>
      <c r="B367" s="2" t="s">
        <v>166</v>
      </c>
      <c r="C367" s="2">
        <v>25561</v>
      </c>
      <c r="G367" t="str">
        <f t="shared" si="5"/>
        <v xml:space="preserve"> Philadelphia</v>
      </c>
    </row>
    <row r="368" spans="1:7" x14ac:dyDescent="0.2">
      <c r="A368" s="1">
        <v>42101025300</v>
      </c>
      <c r="B368" s="2" t="s">
        <v>217</v>
      </c>
      <c r="C368" s="2">
        <v>25519</v>
      </c>
      <c r="G368" t="str">
        <f t="shared" si="5"/>
        <v xml:space="preserve"> Philadelphia</v>
      </c>
    </row>
    <row r="369" spans="1:7" x14ac:dyDescent="0.2">
      <c r="A369" s="1">
        <v>42101006200</v>
      </c>
      <c r="B369" s="2" t="s">
        <v>159</v>
      </c>
      <c r="C369" s="2">
        <v>25509</v>
      </c>
      <c r="G369" t="str">
        <f t="shared" si="5"/>
        <v xml:space="preserve"> Philadelphia</v>
      </c>
    </row>
    <row r="370" spans="1:7" x14ac:dyDescent="0.2">
      <c r="A370" s="1">
        <v>42101007800</v>
      </c>
      <c r="B370" s="2" t="s">
        <v>160</v>
      </c>
      <c r="C370" s="2">
        <v>25493</v>
      </c>
      <c r="G370" t="str">
        <f t="shared" si="5"/>
        <v xml:space="preserve"> Philadelphia</v>
      </c>
    </row>
    <row r="371" spans="1:7" x14ac:dyDescent="0.2">
      <c r="A371" s="1">
        <v>42101011400</v>
      </c>
      <c r="B371" s="2" t="s">
        <v>214</v>
      </c>
      <c r="C371" s="2">
        <v>25369</v>
      </c>
      <c r="G371" t="str">
        <f t="shared" si="5"/>
        <v xml:space="preserve"> Philadelphia</v>
      </c>
    </row>
    <row r="372" spans="1:7" x14ac:dyDescent="0.2">
      <c r="A372" s="1">
        <v>42101014200</v>
      </c>
      <c r="B372" s="2" t="s">
        <v>166</v>
      </c>
      <c r="C372" s="2">
        <v>25348</v>
      </c>
      <c r="G372" t="str">
        <f t="shared" si="5"/>
        <v xml:space="preserve"> Philadelphia</v>
      </c>
    </row>
    <row r="373" spans="1:7" hidden="1" x14ac:dyDescent="0.2">
      <c r="A373" s="1">
        <v>42045400301</v>
      </c>
      <c r="B373" s="2" t="s">
        <v>237</v>
      </c>
      <c r="C373" s="2">
        <v>25340</v>
      </c>
      <c r="G373" t="e">
        <f t="shared" si="5"/>
        <v>#VALUE!</v>
      </c>
    </row>
    <row r="374" spans="1:7" hidden="1" x14ac:dyDescent="0.2">
      <c r="A374" s="1">
        <v>34007606500</v>
      </c>
      <c r="B374" s="2" t="s">
        <v>225</v>
      </c>
      <c r="C374" s="2">
        <v>25226</v>
      </c>
      <c r="G374" t="e">
        <f t="shared" si="5"/>
        <v>#VALUE!</v>
      </c>
    </row>
    <row r="375" spans="1:7" x14ac:dyDescent="0.2">
      <c r="A375" s="1">
        <v>42101023800</v>
      </c>
      <c r="B375" s="2" t="s">
        <v>158</v>
      </c>
      <c r="C375" s="2">
        <v>25053</v>
      </c>
      <c r="G375" t="str">
        <f t="shared" si="5"/>
        <v xml:space="preserve"> Philadelphia</v>
      </c>
    </row>
    <row r="376" spans="1:7" hidden="1" x14ac:dyDescent="0.2">
      <c r="A376" s="1">
        <v>34007611000</v>
      </c>
      <c r="B376" s="2" t="s">
        <v>242</v>
      </c>
      <c r="C376" s="2">
        <v>24922</v>
      </c>
      <c r="G376" t="e">
        <f t="shared" si="5"/>
        <v>#VALUE!</v>
      </c>
    </row>
    <row r="377" spans="1:7" x14ac:dyDescent="0.2">
      <c r="A377" s="1">
        <v>42101003702</v>
      </c>
      <c r="B377" s="2" t="s">
        <v>156</v>
      </c>
      <c r="C377" s="2">
        <v>24866</v>
      </c>
      <c r="G377" t="str">
        <f t="shared" si="5"/>
        <v xml:space="preserve"> Philadelphia</v>
      </c>
    </row>
    <row r="378" spans="1:7" x14ac:dyDescent="0.2">
      <c r="A378" s="1">
        <v>42101011500</v>
      </c>
      <c r="B378" s="2" t="s">
        <v>214</v>
      </c>
      <c r="C378" s="2">
        <v>24862</v>
      </c>
      <c r="G378" t="str">
        <f t="shared" si="5"/>
        <v xml:space="preserve"> Philadelphia</v>
      </c>
    </row>
    <row r="379" spans="1:7" x14ac:dyDescent="0.2">
      <c r="A379" s="1">
        <v>42101000500</v>
      </c>
      <c r="B379" s="2" t="s">
        <v>235</v>
      </c>
      <c r="C379" s="2">
        <v>24846</v>
      </c>
      <c r="G379" t="str">
        <f t="shared" si="5"/>
        <v xml:space="preserve"> Philadelphia</v>
      </c>
    </row>
    <row r="380" spans="1:7" x14ac:dyDescent="0.2">
      <c r="A380" s="1">
        <v>42101011800</v>
      </c>
      <c r="B380" s="2" t="s">
        <v>214</v>
      </c>
      <c r="C380" s="2">
        <v>24805</v>
      </c>
      <c r="G380" t="str">
        <f t="shared" si="5"/>
        <v xml:space="preserve"> Philadelphia</v>
      </c>
    </row>
    <row r="381" spans="1:7" x14ac:dyDescent="0.2">
      <c r="A381" s="1">
        <v>42101026000</v>
      </c>
      <c r="B381" s="2" t="s">
        <v>166</v>
      </c>
      <c r="C381" s="2">
        <v>24800</v>
      </c>
      <c r="G381" t="str">
        <f t="shared" si="5"/>
        <v xml:space="preserve"> Philadelphia</v>
      </c>
    </row>
    <row r="382" spans="1:7" x14ac:dyDescent="0.2">
      <c r="A382" s="1">
        <v>42101028200</v>
      </c>
      <c r="B382" s="2" t="s">
        <v>203</v>
      </c>
      <c r="C382" s="2">
        <v>24786</v>
      </c>
      <c r="G382" t="str">
        <f t="shared" si="5"/>
        <v xml:space="preserve"> Philadelphia</v>
      </c>
    </row>
    <row r="383" spans="1:7" x14ac:dyDescent="0.2">
      <c r="A383" s="1">
        <v>42101008702</v>
      </c>
      <c r="B383" s="2" t="s">
        <v>160</v>
      </c>
      <c r="C383" s="2">
        <v>24775</v>
      </c>
      <c r="G383" t="str">
        <f t="shared" si="5"/>
        <v xml:space="preserve"> Philadelphia</v>
      </c>
    </row>
    <row r="384" spans="1:7" x14ac:dyDescent="0.2">
      <c r="A384" s="1">
        <v>42101026302</v>
      </c>
      <c r="B384" s="2" t="s">
        <v>166</v>
      </c>
      <c r="C384" s="2">
        <v>24773</v>
      </c>
      <c r="G384" t="str">
        <f t="shared" si="5"/>
        <v xml:space="preserve"> Philadelphia</v>
      </c>
    </row>
    <row r="385" spans="1:7" x14ac:dyDescent="0.2">
      <c r="A385" s="1">
        <v>42101023900</v>
      </c>
      <c r="B385" s="2" t="s">
        <v>158</v>
      </c>
      <c r="C385" s="2">
        <v>24650</v>
      </c>
      <c r="G385" t="str">
        <f t="shared" si="5"/>
        <v xml:space="preserve"> Philadelphia</v>
      </c>
    </row>
    <row r="386" spans="1:7" x14ac:dyDescent="0.2">
      <c r="A386" s="1">
        <v>42101038200</v>
      </c>
      <c r="B386" s="2" t="s">
        <v>224</v>
      </c>
      <c r="C386" s="2">
        <v>24633</v>
      </c>
      <c r="G386" t="str">
        <f t="shared" si="5"/>
        <v xml:space="preserve"> Philadelphia</v>
      </c>
    </row>
    <row r="387" spans="1:7" x14ac:dyDescent="0.2">
      <c r="A387" s="1">
        <v>42101028901</v>
      </c>
      <c r="B387" s="2" t="s">
        <v>220</v>
      </c>
      <c r="C387" s="2">
        <v>24598</v>
      </c>
      <c r="G387" t="str">
        <f t="shared" ref="G387:G450" si="6">MID($B387, FIND(",",$B387)+1, FIND(",",$B387,FIND(",",$B387)+1) -1 -FIND(",",$B387))</f>
        <v xml:space="preserve"> Philadelphia</v>
      </c>
    </row>
    <row r="388" spans="1:7" hidden="1" x14ac:dyDescent="0.2">
      <c r="A388" s="1">
        <v>34005700104</v>
      </c>
      <c r="B388" s="2" t="s">
        <v>236</v>
      </c>
      <c r="C388" s="2">
        <v>24537</v>
      </c>
      <c r="G388" t="e">
        <f t="shared" si="6"/>
        <v>#VALUE!</v>
      </c>
    </row>
    <row r="389" spans="1:7" x14ac:dyDescent="0.2">
      <c r="A389" s="1">
        <v>42101017900</v>
      </c>
      <c r="B389" s="2" t="s">
        <v>166</v>
      </c>
      <c r="C389" s="2">
        <v>24519</v>
      </c>
      <c r="G389" t="str">
        <f t="shared" si="6"/>
        <v xml:space="preserve"> Philadelphia</v>
      </c>
    </row>
    <row r="390" spans="1:7" x14ac:dyDescent="0.2">
      <c r="A390" s="1">
        <v>42101037600</v>
      </c>
      <c r="B390" s="2" t="s">
        <v>166</v>
      </c>
      <c r="C390" s="2">
        <v>24508</v>
      </c>
      <c r="G390" t="str">
        <f t="shared" si="6"/>
        <v xml:space="preserve"> Philadelphia</v>
      </c>
    </row>
    <row r="391" spans="1:7" hidden="1" x14ac:dyDescent="0.2">
      <c r="A391" s="1">
        <v>34015500400</v>
      </c>
      <c r="B391" s="2" t="s">
        <v>230</v>
      </c>
      <c r="C391" s="2">
        <v>24411</v>
      </c>
      <c r="G391" t="e">
        <f t="shared" si="6"/>
        <v>#VALUE!</v>
      </c>
    </row>
    <row r="392" spans="1:7" hidden="1" x14ac:dyDescent="0.2">
      <c r="A392" s="1">
        <v>42045402900</v>
      </c>
      <c r="B392" s="2" t="s">
        <v>219</v>
      </c>
      <c r="C392" s="2">
        <v>24398</v>
      </c>
      <c r="G392" t="e">
        <f t="shared" si="6"/>
        <v>#VALUE!</v>
      </c>
    </row>
    <row r="393" spans="1:7" x14ac:dyDescent="0.2">
      <c r="A393" s="1">
        <v>42101024000</v>
      </c>
      <c r="B393" s="2" t="s">
        <v>200</v>
      </c>
      <c r="C393" s="2">
        <v>24378</v>
      </c>
      <c r="G393" t="str">
        <f t="shared" si="6"/>
        <v xml:space="preserve"> Philadelphia</v>
      </c>
    </row>
    <row r="394" spans="1:7" x14ac:dyDescent="0.2">
      <c r="A394" s="1">
        <v>42101028100</v>
      </c>
      <c r="B394" s="2" t="s">
        <v>203</v>
      </c>
      <c r="C394" s="2">
        <v>24269</v>
      </c>
      <c r="G394" t="str">
        <f t="shared" si="6"/>
        <v xml:space="preserve"> Philadelphia</v>
      </c>
    </row>
    <row r="395" spans="1:7" x14ac:dyDescent="0.2">
      <c r="A395" s="1">
        <v>42101038100</v>
      </c>
      <c r="B395" s="2" t="s">
        <v>155</v>
      </c>
      <c r="C395" s="2">
        <v>24048</v>
      </c>
      <c r="G395" t="str">
        <f t="shared" si="6"/>
        <v xml:space="preserve"> Philadelphia</v>
      </c>
    </row>
    <row r="396" spans="1:7" x14ac:dyDescent="0.2">
      <c r="A396" s="1">
        <v>42101011300</v>
      </c>
      <c r="B396" s="2" t="s">
        <v>214</v>
      </c>
      <c r="C396" s="2">
        <v>24020</v>
      </c>
      <c r="G396" t="str">
        <f t="shared" si="6"/>
        <v xml:space="preserve"> Philadelphia</v>
      </c>
    </row>
    <row r="397" spans="1:7" x14ac:dyDescent="0.2">
      <c r="A397" s="1">
        <v>42101024300</v>
      </c>
      <c r="B397" s="2" t="s">
        <v>200</v>
      </c>
      <c r="C397" s="2">
        <v>23992</v>
      </c>
      <c r="G397" t="str">
        <f t="shared" si="6"/>
        <v xml:space="preserve"> Philadelphia</v>
      </c>
    </row>
    <row r="398" spans="1:7" x14ac:dyDescent="0.2">
      <c r="A398" s="1">
        <v>42101027402</v>
      </c>
      <c r="B398" s="2" t="s">
        <v>166</v>
      </c>
      <c r="C398" s="2">
        <v>23968</v>
      </c>
      <c r="G398" t="str">
        <f t="shared" si="6"/>
        <v xml:space="preserve"> Philadelphia</v>
      </c>
    </row>
    <row r="399" spans="1:7" x14ac:dyDescent="0.2">
      <c r="A399" s="1">
        <v>42101013500</v>
      </c>
      <c r="B399" s="2" t="s">
        <v>172</v>
      </c>
      <c r="C399" s="2">
        <v>23925</v>
      </c>
      <c r="G399" t="str">
        <f t="shared" si="6"/>
        <v xml:space="preserve"> Philadelphia</v>
      </c>
    </row>
    <row r="400" spans="1:7" x14ac:dyDescent="0.2">
      <c r="A400" s="1">
        <v>42101028800</v>
      </c>
      <c r="B400" s="2" t="s">
        <v>220</v>
      </c>
      <c r="C400" s="2">
        <v>23898</v>
      </c>
      <c r="G400" t="str">
        <f t="shared" si="6"/>
        <v xml:space="preserve"> Philadelphia</v>
      </c>
    </row>
    <row r="401" spans="1:7" x14ac:dyDescent="0.2">
      <c r="A401" s="1">
        <v>42101028902</v>
      </c>
      <c r="B401" s="2" t="s">
        <v>220</v>
      </c>
      <c r="C401" s="2">
        <v>23859</v>
      </c>
      <c r="G401" t="str">
        <f t="shared" si="6"/>
        <v xml:space="preserve"> Philadelphia</v>
      </c>
    </row>
    <row r="402" spans="1:7" x14ac:dyDescent="0.2">
      <c r="A402" s="1">
        <v>42101027600</v>
      </c>
      <c r="B402" s="2" t="s">
        <v>203</v>
      </c>
      <c r="C402" s="2">
        <v>23813</v>
      </c>
      <c r="G402" t="str">
        <f t="shared" si="6"/>
        <v xml:space="preserve"> Philadelphia</v>
      </c>
    </row>
    <row r="403" spans="1:7" x14ac:dyDescent="0.2">
      <c r="A403" s="1">
        <v>42101008000</v>
      </c>
      <c r="B403" s="2" t="s">
        <v>160</v>
      </c>
      <c r="C403" s="2">
        <v>23768</v>
      </c>
      <c r="G403" t="str">
        <f t="shared" si="6"/>
        <v xml:space="preserve"> Philadelphia</v>
      </c>
    </row>
    <row r="404" spans="1:7" x14ac:dyDescent="0.2">
      <c r="A404" s="1">
        <v>42101028600</v>
      </c>
      <c r="B404" s="2" t="s">
        <v>166</v>
      </c>
      <c r="C404" s="2">
        <v>23751</v>
      </c>
      <c r="G404" t="str">
        <f t="shared" si="6"/>
        <v xml:space="preserve"> Philadelphia</v>
      </c>
    </row>
    <row r="405" spans="1:7" x14ac:dyDescent="0.2">
      <c r="A405" s="1">
        <v>42101008701</v>
      </c>
      <c r="B405" s="2" t="s">
        <v>205</v>
      </c>
      <c r="C405" s="2">
        <v>23559</v>
      </c>
      <c r="G405" t="str">
        <f t="shared" si="6"/>
        <v xml:space="preserve"> Philadelphia</v>
      </c>
    </row>
    <row r="406" spans="1:7" x14ac:dyDescent="0.2">
      <c r="A406" s="1">
        <v>42101012201</v>
      </c>
      <c r="B406" s="2" t="s">
        <v>153</v>
      </c>
      <c r="C406" s="2">
        <v>23521</v>
      </c>
      <c r="G406" t="str">
        <f t="shared" si="6"/>
        <v xml:space="preserve"> Philadelphia</v>
      </c>
    </row>
    <row r="407" spans="1:7" hidden="1" x14ac:dyDescent="0.2">
      <c r="A407" s="1">
        <v>42045402500</v>
      </c>
      <c r="B407" s="2" t="s">
        <v>215</v>
      </c>
      <c r="C407" s="2">
        <v>23467</v>
      </c>
      <c r="G407" t="e">
        <f t="shared" si="6"/>
        <v>#VALUE!</v>
      </c>
    </row>
    <row r="408" spans="1:7" x14ac:dyDescent="0.2">
      <c r="A408" s="1">
        <v>42101006900</v>
      </c>
      <c r="B408" s="2" t="s">
        <v>159</v>
      </c>
      <c r="C408" s="2">
        <v>23439</v>
      </c>
      <c r="G408" t="str">
        <f t="shared" si="6"/>
        <v xml:space="preserve"> Philadelphia</v>
      </c>
    </row>
    <row r="409" spans="1:7" x14ac:dyDescent="0.2">
      <c r="A409" s="1">
        <v>42101018800</v>
      </c>
      <c r="B409" s="2" t="s">
        <v>224</v>
      </c>
      <c r="C409" s="2">
        <v>23437</v>
      </c>
      <c r="G409" t="str">
        <f t="shared" si="6"/>
        <v xml:space="preserve"> Philadelphia</v>
      </c>
    </row>
    <row r="410" spans="1:7" x14ac:dyDescent="0.2">
      <c r="A410" s="1">
        <v>42101027800</v>
      </c>
      <c r="B410" s="2" t="s">
        <v>194</v>
      </c>
      <c r="C410" s="2">
        <v>23420</v>
      </c>
      <c r="G410" t="str">
        <f t="shared" si="6"/>
        <v xml:space="preserve"> Philadelphia</v>
      </c>
    </row>
    <row r="411" spans="1:7" x14ac:dyDescent="0.2">
      <c r="A411" s="1">
        <v>42101028700</v>
      </c>
      <c r="B411" s="2" t="s">
        <v>161</v>
      </c>
      <c r="C411" s="2">
        <v>23357</v>
      </c>
      <c r="G411" t="str">
        <f t="shared" si="6"/>
        <v xml:space="preserve"> Philadelphia</v>
      </c>
    </row>
    <row r="412" spans="1:7" x14ac:dyDescent="0.2">
      <c r="A412" s="1">
        <v>42101008101</v>
      </c>
      <c r="B412" s="2" t="s">
        <v>206</v>
      </c>
      <c r="C412" s="2">
        <v>23214</v>
      </c>
      <c r="G412" t="str">
        <f t="shared" si="6"/>
        <v xml:space="preserve"> Philadelphia</v>
      </c>
    </row>
    <row r="413" spans="1:7" x14ac:dyDescent="0.2">
      <c r="A413" s="1">
        <v>42101008802</v>
      </c>
      <c r="B413" s="2" t="s">
        <v>160</v>
      </c>
      <c r="C413" s="2">
        <v>23098</v>
      </c>
      <c r="G413" t="str">
        <f t="shared" si="6"/>
        <v xml:space="preserve"> Philadelphia</v>
      </c>
    </row>
    <row r="414" spans="1:7" x14ac:dyDescent="0.2">
      <c r="A414" s="1">
        <v>42101024400</v>
      </c>
      <c r="B414" s="2" t="s">
        <v>200</v>
      </c>
      <c r="C414" s="2">
        <v>23060</v>
      </c>
      <c r="G414" t="str">
        <f t="shared" si="6"/>
        <v xml:space="preserve"> Philadelphia</v>
      </c>
    </row>
    <row r="415" spans="1:7" hidden="1" x14ac:dyDescent="0.2">
      <c r="A415" s="1">
        <v>34007601200</v>
      </c>
      <c r="B415" s="2" t="s">
        <v>209</v>
      </c>
      <c r="C415" s="2">
        <v>23037</v>
      </c>
      <c r="G415" t="str">
        <f t="shared" si="6"/>
        <v xml:space="preserve"> Camden</v>
      </c>
    </row>
    <row r="416" spans="1:7" x14ac:dyDescent="0.2">
      <c r="A416" s="1">
        <v>42101026600</v>
      </c>
      <c r="B416" s="2" t="s">
        <v>166</v>
      </c>
      <c r="C416" s="2">
        <v>23017</v>
      </c>
      <c r="G416" t="str">
        <f t="shared" si="6"/>
        <v xml:space="preserve"> Philadelphia</v>
      </c>
    </row>
    <row r="417" spans="1:7" x14ac:dyDescent="0.2">
      <c r="A417" s="1">
        <v>42101027902</v>
      </c>
      <c r="B417" s="2" t="s">
        <v>213</v>
      </c>
      <c r="C417" s="2">
        <v>22921</v>
      </c>
      <c r="G417" t="str">
        <f t="shared" si="6"/>
        <v xml:space="preserve"> Philadelphia</v>
      </c>
    </row>
    <row r="418" spans="1:7" x14ac:dyDescent="0.2">
      <c r="A418" s="1">
        <v>42101024800</v>
      </c>
      <c r="B418" s="2" t="s">
        <v>189</v>
      </c>
      <c r="C418" s="2">
        <v>22852</v>
      </c>
      <c r="G418" t="str">
        <f t="shared" si="6"/>
        <v xml:space="preserve"> Philadelphia</v>
      </c>
    </row>
    <row r="419" spans="1:7" x14ac:dyDescent="0.2">
      <c r="A419" s="1">
        <v>42101026700</v>
      </c>
      <c r="B419" s="2" t="s">
        <v>166</v>
      </c>
      <c r="C419" s="2">
        <v>22825</v>
      </c>
      <c r="G419" t="str">
        <f t="shared" si="6"/>
        <v xml:space="preserve"> Philadelphia</v>
      </c>
    </row>
    <row r="420" spans="1:7" x14ac:dyDescent="0.2">
      <c r="A420" s="1">
        <v>42101009300</v>
      </c>
      <c r="B420" s="2" t="s">
        <v>181</v>
      </c>
      <c r="C420" s="2">
        <v>22689</v>
      </c>
      <c r="G420" t="str">
        <f t="shared" si="6"/>
        <v xml:space="preserve"> Philadelphia</v>
      </c>
    </row>
    <row r="421" spans="1:7" x14ac:dyDescent="0.2">
      <c r="A421" s="1">
        <v>42101003300</v>
      </c>
      <c r="B421" s="2" t="s">
        <v>156</v>
      </c>
      <c r="C421" s="2">
        <v>22657</v>
      </c>
      <c r="G421" t="str">
        <f t="shared" si="6"/>
        <v xml:space="preserve"> Philadelphia</v>
      </c>
    </row>
    <row r="422" spans="1:7" x14ac:dyDescent="0.2">
      <c r="A422" s="1">
        <v>42101007200</v>
      </c>
      <c r="B422" s="2" t="s">
        <v>206</v>
      </c>
      <c r="C422" s="2">
        <v>22657</v>
      </c>
      <c r="G422" t="str">
        <f t="shared" si="6"/>
        <v xml:space="preserve"> Philadelphia</v>
      </c>
    </row>
    <row r="423" spans="1:7" x14ac:dyDescent="0.2">
      <c r="A423" s="1">
        <v>42101008102</v>
      </c>
      <c r="B423" s="2" t="s">
        <v>160</v>
      </c>
      <c r="C423" s="2">
        <v>22609</v>
      </c>
      <c r="G423" t="str">
        <f t="shared" si="6"/>
        <v xml:space="preserve"> Philadelphia</v>
      </c>
    </row>
    <row r="424" spans="1:7" x14ac:dyDescent="0.2">
      <c r="A424" s="1">
        <v>42101011200</v>
      </c>
      <c r="B424" s="2" t="s">
        <v>188</v>
      </c>
      <c r="C424" s="2">
        <v>22575</v>
      </c>
      <c r="G424" t="str">
        <f t="shared" si="6"/>
        <v xml:space="preserve"> Philadelphia</v>
      </c>
    </row>
    <row r="425" spans="1:7" x14ac:dyDescent="0.2">
      <c r="A425" s="1">
        <v>42101010100</v>
      </c>
      <c r="B425" s="2" t="s">
        <v>188</v>
      </c>
      <c r="C425" s="2">
        <v>22466</v>
      </c>
      <c r="G425" t="str">
        <f t="shared" si="6"/>
        <v xml:space="preserve"> Philadelphia</v>
      </c>
    </row>
    <row r="426" spans="1:7" x14ac:dyDescent="0.2">
      <c r="A426" s="1">
        <v>42101003600</v>
      </c>
      <c r="B426" s="2" t="s">
        <v>223</v>
      </c>
      <c r="C426" s="2">
        <v>22455</v>
      </c>
      <c r="G426" t="str">
        <f t="shared" si="6"/>
        <v xml:space="preserve"> Philadelphia</v>
      </c>
    </row>
    <row r="427" spans="1:7" x14ac:dyDescent="0.2">
      <c r="A427" s="1">
        <v>42101011900</v>
      </c>
      <c r="B427" s="2" t="s">
        <v>211</v>
      </c>
      <c r="C427" s="2">
        <v>22448</v>
      </c>
      <c r="G427" t="str">
        <f t="shared" si="6"/>
        <v xml:space="preserve"> Philadelphia</v>
      </c>
    </row>
    <row r="428" spans="1:7" hidden="1" x14ac:dyDescent="0.2">
      <c r="A428" s="1">
        <v>34007604100</v>
      </c>
      <c r="B428" s="2" t="s">
        <v>222</v>
      </c>
      <c r="C428" s="2">
        <v>22368</v>
      </c>
      <c r="G428" t="e">
        <f t="shared" si="6"/>
        <v>#VALUE!</v>
      </c>
    </row>
    <row r="429" spans="1:7" x14ac:dyDescent="0.2">
      <c r="A429" s="1">
        <v>42101017000</v>
      </c>
      <c r="B429" s="2" t="s">
        <v>166</v>
      </c>
      <c r="C429" s="2">
        <v>22357</v>
      </c>
      <c r="G429" t="str">
        <f t="shared" si="6"/>
        <v xml:space="preserve"> Philadelphia</v>
      </c>
    </row>
    <row r="430" spans="1:7" x14ac:dyDescent="0.2">
      <c r="A430" s="1">
        <v>42101029400</v>
      </c>
      <c r="B430" s="2" t="s">
        <v>218</v>
      </c>
      <c r="C430" s="2">
        <v>22350</v>
      </c>
      <c r="G430" t="str">
        <f t="shared" si="6"/>
        <v xml:space="preserve"> Philadelphia</v>
      </c>
    </row>
    <row r="431" spans="1:7" x14ac:dyDescent="0.2">
      <c r="A431" s="1">
        <v>42101004102</v>
      </c>
      <c r="B431" s="2" t="s">
        <v>156</v>
      </c>
      <c r="C431" s="2">
        <v>22306</v>
      </c>
      <c r="G431" t="str">
        <f t="shared" si="6"/>
        <v xml:space="preserve"> Philadelphia</v>
      </c>
    </row>
    <row r="432" spans="1:7" x14ac:dyDescent="0.2">
      <c r="A432" s="1">
        <v>42101008200</v>
      </c>
      <c r="B432" s="2" t="s">
        <v>206</v>
      </c>
      <c r="C432" s="2">
        <v>22298</v>
      </c>
      <c r="G432" t="str">
        <f t="shared" si="6"/>
        <v xml:space="preserve"> Philadelphia</v>
      </c>
    </row>
    <row r="433" spans="1:7" x14ac:dyDescent="0.2">
      <c r="A433" s="1">
        <v>42101020102</v>
      </c>
      <c r="B433" s="2" t="s">
        <v>166</v>
      </c>
      <c r="C433" s="2">
        <v>22231</v>
      </c>
      <c r="G433" t="str">
        <f t="shared" si="6"/>
        <v xml:space="preserve"> Philadelphia</v>
      </c>
    </row>
    <row r="434" spans="1:7" x14ac:dyDescent="0.2">
      <c r="A434" s="1">
        <v>42101008302</v>
      </c>
      <c r="B434" s="2" t="s">
        <v>196</v>
      </c>
      <c r="C434" s="2">
        <v>22224</v>
      </c>
      <c r="G434" t="str">
        <f t="shared" si="6"/>
        <v xml:space="preserve"> Philadelphia</v>
      </c>
    </row>
    <row r="435" spans="1:7" x14ac:dyDescent="0.2">
      <c r="A435" s="1">
        <v>42101006300</v>
      </c>
      <c r="B435" s="2" t="s">
        <v>159</v>
      </c>
      <c r="C435" s="2">
        <v>22147</v>
      </c>
      <c r="G435" t="str">
        <f t="shared" si="6"/>
        <v xml:space="preserve"> Philadelphia</v>
      </c>
    </row>
    <row r="436" spans="1:7" x14ac:dyDescent="0.2">
      <c r="A436" s="1">
        <v>42101007300</v>
      </c>
      <c r="B436" s="2" t="s">
        <v>159</v>
      </c>
      <c r="C436" s="2">
        <v>22067</v>
      </c>
      <c r="G436" t="str">
        <f t="shared" si="6"/>
        <v xml:space="preserve"> Philadelphia</v>
      </c>
    </row>
    <row r="437" spans="1:7" x14ac:dyDescent="0.2">
      <c r="A437" s="1">
        <v>42101010200</v>
      </c>
      <c r="B437" s="2" t="s">
        <v>181</v>
      </c>
      <c r="C437" s="2">
        <v>22031</v>
      </c>
      <c r="G437" t="str">
        <f t="shared" si="6"/>
        <v xml:space="preserve"> Philadelphia</v>
      </c>
    </row>
    <row r="438" spans="1:7" x14ac:dyDescent="0.2">
      <c r="A438" s="1">
        <v>42101010600</v>
      </c>
      <c r="B438" s="2" t="s">
        <v>199</v>
      </c>
      <c r="C438" s="2">
        <v>22029</v>
      </c>
      <c r="G438" t="str">
        <f t="shared" si="6"/>
        <v xml:space="preserve"> Philadelphia</v>
      </c>
    </row>
    <row r="439" spans="1:7" x14ac:dyDescent="0.2">
      <c r="A439" s="1">
        <v>42101006600</v>
      </c>
      <c r="B439" s="2" t="s">
        <v>210</v>
      </c>
      <c r="C439" s="2">
        <v>21982</v>
      </c>
      <c r="G439" t="str">
        <f t="shared" si="6"/>
        <v xml:space="preserve"> Philadelphia</v>
      </c>
    </row>
    <row r="440" spans="1:7" hidden="1" x14ac:dyDescent="0.2">
      <c r="A440" s="1">
        <v>42045402400</v>
      </c>
      <c r="B440" s="2" t="s">
        <v>215</v>
      </c>
      <c r="C440" s="2">
        <v>21949</v>
      </c>
      <c r="G440" t="e">
        <f t="shared" si="6"/>
        <v>#VALUE!</v>
      </c>
    </row>
    <row r="441" spans="1:7" x14ac:dyDescent="0.2">
      <c r="A441" s="1">
        <v>42101028300</v>
      </c>
      <c r="B441" s="2" t="s">
        <v>203</v>
      </c>
      <c r="C441" s="2">
        <v>21917</v>
      </c>
      <c r="G441" t="str">
        <f t="shared" si="6"/>
        <v xml:space="preserve"> Philadelphia</v>
      </c>
    </row>
    <row r="442" spans="1:7" x14ac:dyDescent="0.2">
      <c r="A442" s="1">
        <v>42101020500</v>
      </c>
      <c r="B442" s="2" t="s">
        <v>166</v>
      </c>
      <c r="C442" s="2">
        <v>21879</v>
      </c>
      <c r="G442" t="str">
        <f t="shared" si="6"/>
        <v xml:space="preserve"> Philadelphia</v>
      </c>
    </row>
    <row r="443" spans="1:7" hidden="1" x14ac:dyDescent="0.2">
      <c r="A443" s="1">
        <v>42045402700</v>
      </c>
      <c r="B443" s="2" t="s">
        <v>215</v>
      </c>
      <c r="C443" s="2">
        <v>21866</v>
      </c>
      <c r="G443" t="e">
        <f t="shared" si="6"/>
        <v>#VALUE!</v>
      </c>
    </row>
    <row r="444" spans="1:7" x14ac:dyDescent="0.2">
      <c r="A444" s="1">
        <v>42101024100</v>
      </c>
      <c r="B444" s="2" t="s">
        <v>200</v>
      </c>
      <c r="C444" s="2">
        <v>21856</v>
      </c>
      <c r="G444" t="str">
        <f t="shared" si="6"/>
        <v xml:space="preserve"> Philadelphia</v>
      </c>
    </row>
    <row r="445" spans="1:7" x14ac:dyDescent="0.2">
      <c r="A445" s="1">
        <v>42101030000</v>
      </c>
      <c r="B445" s="2" t="s">
        <v>218</v>
      </c>
      <c r="C445" s="2">
        <v>21830</v>
      </c>
      <c r="G445" t="str">
        <f t="shared" si="6"/>
        <v xml:space="preserve"> Philadelphia</v>
      </c>
    </row>
    <row r="446" spans="1:7" x14ac:dyDescent="0.2">
      <c r="A446" s="1">
        <v>42101025200</v>
      </c>
      <c r="B446" s="2" t="s">
        <v>189</v>
      </c>
      <c r="C446" s="2">
        <v>21762</v>
      </c>
      <c r="G446" t="str">
        <f t="shared" si="6"/>
        <v xml:space="preserve"> Philadelphia</v>
      </c>
    </row>
    <row r="447" spans="1:7" x14ac:dyDescent="0.2">
      <c r="A447" s="1">
        <v>42101019200</v>
      </c>
      <c r="B447" s="2" t="s">
        <v>166</v>
      </c>
      <c r="C447" s="2">
        <v>21699</v>
      </c>
      <c r="G447" t="str">
        <f t="shared" si="6"/>
        <v xml:space="preserve"> Philadelphia</v>
      </c>
    </row>
    <row r="448" spans="1:7" x14ac:dyDescent="0.2">
      <c r="A448" s="1">
        <v>42101005600</v>
      </c>
      <c r="B448" s="2" t="s">
        <v>159</v>
      </c>
      <c r="C448" s="2">
        <v>21695</v>
      </c>
      <c r="G448" t="str">
        <f t="shared" si="6"/>
        <v xml:space="preserve"> Philadelphia</v>
      </c>
    </row>
    <row r="449" spans="1:7" x14ac:dyDescent="0.2">
      <c r="A449" s="1">
        <v>42101027901</v>
      </c>
      <c r="B449" s="2" t="s">
        <v>166</v>
      </c>
      <c r="C449" s="2">
        <v>21673</v>
      </c>
      <c r="G449" t="str">
        <f t="shared" si="6"/>
        <v xml:space="preserve"> Philadelphia</v>
      </c>
    </row>
    <row r="450" spans="1:7" x14ac:dyDescent="0.2">
      <c r="A450" s="1">
        <v>42101014400</v>
      </c>
      <c r="B450" s="2" t="s">
        <v>166</v>
      </c>
      <c r="C450" s="2">
        <v>21659</v>
      </c>
      <c r="G450" t="str">
        <f t="shared" si="6"/>
        <v xml:space="preserve"> Philadelphia</v>
      </c>
    </row>
    <row r="451" spans="1:7" x14ac:dyDescent="0.2">
      <c r="A451" s="1">
        <v>42101009500</v>
      </c>
      <c r="B451" s="2" t="s">
        <v>181</v>
      </c>
      <c r="C451" s="2">
        <v>21586</v>
      </c>
      <c r="G451" t="str">
        <f t="shared" ref="G451:G514" si="7">MID($B451, FIND(",",$B451)+1, FIND(",",$B451,FIND(",",$B451)+1) -1 -FIND(",",$B451))</f>
        <v xml:space="preserve"> Philadelphia</v>
      </c>
    </row>
    <row r="452" spans="1:7" x14ac:dyDescent="0.2">
      <c r="A452" s="1">
        <v>42101024900</v>
      </c>
      <c r="B452" s="2" t="s">
        <v>189</v>
      </c>
      <c r="C452" s="2">
        <v>21487</v>
      </c>
      <c r="G452" t="str">
        <f t="shared" si="7"/>
        <v xml:space="preserve"> Philadelphia</v>
      </c>
    </row>
    <row r="453" spans="1:7" x14ac:dyDescent="0.2">
      <c r="A453" s="1">
        <v>42101024200</v>
      </c>
      <c r="B453" s="2" t="s">
        <v>200</v>
      </c>
      <c r="C453" s="2">
        <v>21430</v>
      </c>
      <c r="G453" t="str">
        <f t="shared" si="7"/>
        <v xml:space="preserve"> Philadelphia</v>
      </c>
    </row>
    <row r="454" spans="1:7" x14ac:dyDescent="0.2">
      <c r="A454" s="1">
        <v>42101004101</v>
      </c>
      <c r="B454" s="2" t="s">
        <v>156</v>
      </c>
      <c r="C454" s="2">
        <v>21405</v>
      </c>
      <c r="G454" t="str">
        <f t="shared" si="7"/>
        <v xml:space="preserve"> Philadelphia</v>
      </c>
    </row>
    <row r="455" spans="1:7" x14ac:dyDescent="0.2">
      <c r="A455" s="1">
        <v>42101028400</v>
      </c>
      <c r="B455" s="2" t="s">
        <v>166</v>
      </c>
      <c r="C455" s="2">
        <v>21393</v>
      </c>
      <c r="G455" t="str">
        <f t="shared" si="7"/>
        <v xml:space="preserve"> Philadelphia</v>
      </c>
    </row>
    <row r="456" spans="1:7" x14ac:dyDescent="0.2">
      <c r="A456" s="1">
        <v>42101007101</v>
      </c>
      <c r="B456" s="2" t="s">
        <v>159</v>
      </c>
      <c r="C456" s="2">
        <v>21392</v>
      </c>
      <c r="G456" t="str">
        <f t="shared" si="7"/>
        <v xml:space="preserve"> Philadelphia</v>
      </c>
    </row>
    <row r="457" spans="1:7" x14ac:dyDescent="0.2">
      <c r="A457" s="1">
        <v>42101029900</v>
      </c>
      <c r="B457" s="2" t="s">
        <v>218</v>
      </c>
      <c r="C457" s="2">
        <v>21379</v>
      </c>
      <c r="G457" t="str">
        <f t="shared" si="7"/>
        <v xml:space="preserve"> Philadelphia</v>
      </c>
    </row>
    <row r="458" spans="1:7" x14ac:dyDescent="0.2">
      <c r="A458" s="1">
        <v>42101001300</v>
      </c>
      <c r="B458" s="2" t="s">
        <v>177</v>
      </c>
      <c r="C458" s="2">
        <v>21254</v>
      </c>
      <c r="G458" t="str">
        <f t="shared" si="7"/>
        <v xml:space="preserve"> Philadelphia</v>
      </c>
    </row>
    <row r="459" spans="1:7" x14ac:dyDescent="0.2">
      <c r="A459" s="1">
        <v>42101007000</v>
      </c>
      <c r="B459" s="2" t="s">
        <v>159</v>
      </c>
      <c r="C459" s="2">
        <v>21251</v>
      </c>
      <c r="G459" t="str">
        <f t="shared" si="7"/>
        <v xml:space="preserve"> Philadelphia</v>
      </c>
    </row>
    <row r="460" spans="1:7" x14ac:dyDescent="0.2">
      <c r="A460" s="1">
        <v>42101017701</v>
      </c>
      <c r="B460" s="2" t="s">
        <v>166</v>
      </c>
      <c r="C460" s="2">
        <v>21213</v>
      </c>
      <c r="G460" t="str">
        <f t="shared" si="7"/>
        <v xml:space="preserve"> Philadelphia</v>
      </c>
    </row>
    <row r="461" spans="1:7" x14ac:dyDescent="0.2">
      <c r="A461" s="1">
        <v>42101026500</v>
      </c>
      <c r="B461" s="2" t="s">
        <v>166</v>
      </c>
      <c r="C461" s="2">
        <v>21204</v>
      </c>
      <c r="G461" t="str">
        <f t="shared" si="7"/>
        <v xml:space="preserve"> Philadelphia</v>
      </c>
    </row>
    <row r="462" spans="1:7" x14ac:dyDescent="0.2">
      <c r="A462" s="1">
        <v>42101008400</v>
      </c>
      <c r="B462" s="2" t="s">
        <v>196</v>
      </c>
      <c r="C462" s="2">
        <v>21158</v>
      </c>
      <c r="G462" t="str">
        <f t="shared" si="7"/>
        <v xml:space="preserve"> Philadelphia</v>
      </c>
    </row>
    <row r="463" spans="1:7" hidden="1" x14ac:dyDescent="0.2">
      <c r="A463" s="1">
        <v>34007601000</v>
      </c>
      <c r="B463" s="2" t="s">
        <v>207</v>
      </c>
      <c r="C463" s="2">
        <v>21124</v>
      </c>
      <c r="G463" t="str">
        <f t="shared" si="7"/>
        <v xml:space="preserve"> Camden</v>
      </c>
    </row>
    <row r="464" spans="1:7" x14ac:dyDescent="0.2">
      <c r="A464" s="1">
        <v>42101014600</v>
      </c>
      <c r="B464" s="2" t="s">
        <v>166</v>
      </c>
      <c r="C464" s="2">
        <v>21088</v>
      </c>
      <c r="G464" t="str">
        <f t="shared" si="7"/>
        <v xml:space="preserve"> Philadelphia</v>
      </c>
    </row>
    <row r="465" spans="1:7" x14ac:dyDescent="0.2">
      <c r="A465" s="1">
        <v>42101007700</v>
      </c>
      <c r="B465" s="2" t="s">
        <v>205</v>
      </c>
      <c r="C465" s="2">
        <v>21034</v>
      </c>
      <c r="G465" t="str">
        <f t="shared" si="7"/>
        <v xml:space="preserve"> Philadelphia</v>
      </c>
    </row>
    <row r="466" spans="1:7" x14ac:dyDescent="0.2">
      <c r="A466" s="1">
        <v>42101024500</v>
      </c>
      <c r="B466" s="2" t="s">
        <v>189</v>
      </c>
      <c r="C466" s="2">
        <v>21033</v>
      </c>
      <c r="G466" t="str">
        <f t="shared" si="7"/>
        <v xml:space="preserve"> Philadelphia</v>
      </c>
    </row>
    <row r="467" spans="1:7" x14ac:dyDescent="0.2">
      <c r="A467" s="1">
        <v>42101001500</v>
      </c>
      <c r="B467" s="2" t="s">
        <v>156</v>
      </c>
      <c r="C467" s="2">
        <v>21001</v>
      </c>
      <c r="G467" t="str">
        <f t="shared" si="7"/>
        <v xml:space="preserve"> Philadelphia</v>
      </c>
    </row>
    <row r="468" spans="1:7" x14ac:dyDescent="0.2">
      <c r="A468" s="1">
        <v>42101010900</v>
      </c>
      <c r="B468" s="2" t="s">
        <v>175</v>
      </c>
      <c r="C468" s="2">
        <v>20984</v>
      </c>
      <c r="G468" t="str">
        <f t="shared" si="7"/>
        <v xml:space="preserve"> Philadelphia</v>
      </c>
    </row>
    <row r="469" spans="1:7" x14ac:dyDescent="0.2">
      <c r="A469" s="1">
        <v>42101009100</v>
      </c>
      <c r="B469" s="2" t="s">
        <v>184</v>
      </c>
      <c r="C469" s="2">
        <v>20981</v>
      </c>
      <c r="G469" t="str">
        <f t="shared" si="7"/>
        <v xml:space="preserve"> Philadelphia</v>
      </c>
    </row>
    <row r="470" spans="1:7" x14ac:dyDescent="0.2">
      <c r="A470" s="1">
        <v>42101002500</v>
      </c>
      <c r="B470" s="2" t="s">
        <v>156</v>
      </c>
      <c r="C470" s="2">
        <v>20908</v>
      </c>
      <c r="G470" t="str">
        <f t="shared" si="7"/>
        <v xml:space="preserve"> Philadelphia</v>
      </c>
    </row>
    <row r="471" spans="1:7" x14ac:dyDescent="0.2">
      <c r="A471" s="1">
        <v>42101002100</v>
      </c>
      <c r="B471" s="2" t="s">
        <v>170</v>
      </c>
      <c r="C471" s="2">
        <v>20826</v>
      </c>
      <c r="G471" t="str">
        <f t="shared" si="7"/>
        <v xml:space="preserve"> Philadelphia</v>
      </c>
    </row>
    <row r="472" spans="1:7" x14ac:dyDescent="0.2">
      <c r="A472" s="1">
        <v>42101027700</v>
      </c>
      <c r="B472" s="2" t="s">
        <v>203</v>
      </c>
      <c r="C472" s="2">
        <v>20771</v>
      </c>
      <c r="G472" t="str">
        <f t="shared" si="7"/>
        <v xml:space="preserve"> Philadelphia</v>
      </c>
    </row>
    <row r="473" spans="1:7" x14ac:dyDescent="0.2">
      <c r="A473" s="1">
        <v>42101002701</v>
      </c>
      <c r="B473" s="2" t="s">
        <v>216</v>
      </c>
      <c r="C473" s="2">
        <v>20734</v>
      </c>
      <c r="G473" t="str">
        <f t="shared" si="7"/>
        <v xml:space="preserve"> Philadelphia</v>
      </c>
    </row>
    <row r="474" spans="1:7" x14ac:dyDescent="0.2">
      <c r="A474" s="1">
        <v>42101010500</v>
      </c>
      <c r="B474" s="2" t="s">
        <v>186</v>
      </c>
      <c r="C474" s="2">
        <v>20706</v>
      </c>
      <c r="G474" t="str">
        <f t="shared" si="7"/>
        <v xml:space="preserve"> Philadelphia</v>
      </c>
    </row>
    <row r="475" spans="1:7" x14ac:dyDescent="0.2">
      <c r="A475" s="1">
        <v>42101003002</v>
      </c>
      <c r="B475" s="2" t="s">
        <v>201</v>
      </c>
      <c r="C475" s="2">
        <v>20687</v>
      </c>
      <c r="G475" t="str">
        <f t="shared" si="7"/>
        <v xml:space="preserve"> Philadelphia</v>
      </c>
    </row>
    <row r="476" spans="1:7" hidden="1" x14ac:dyDescent="0.2">
      <c r="A476" s="1">
        <v>42101006500</v>
      </c>
      <c r="B476" s="2" t="s">
        <v>162</v>
      </c>
      <c r="C476" s="2">
        <v>20684</v>
      </c>
      <c r="G476" t="e">
        <f t="shared" si="7"/>
        <v>#VALUE!</v>
      </c>
    </row>
    <row r="477" spans="1:7" x14ac:dyDescent="0.2">
      <c r="A477" s="1">
        <v>42101015700</v>
      </c>
      <c r="B477" s="2" t="s">
        <v>190</v>
      </c>
      <c r="C477" s="2">
        <v>20484</v>
      </c>
      <c r="G477" t="str">
        <f t="shared" si="7"/>
        <v xml:space="preserve"> Philadelphia</v>
      </c>
    </row>
    <row r="478" spans="1:7" hidden="1" x14ac:dyDescent="0.2">
      <c r="A478" s="1">
        <v>34007601300</v>
      </c>
      <c r="B478" s="2" t="s">
        <v>198</v>
      </c>
      <c r="C478" s="2">
        <v>20450</v>
      </c>
      <c r="G478" t="str">
        <f t="shared" si="7"/>
        <v xml:space="preserve"> Camden</v>
      </c>
    </row>
    <row r="479" spans="1:7" x14ac:dyDescent="0.2">
      <c r="A479" s="1">
        <v>42101017201</v>
      </c>
      <c r="B479" s="2" t="s">
        <v>171</v>
      </c>
      <c r="C479" s="2">
        <v>20446</v>
      </c>
      <c r="G479" t="str">
        <f t="shared" si="7"/>
        <v xml:space="preserve"> Philadelphia</v>
      </c>
    </row>
    <row r="480" spans="1:7" hidden="1" x14ac:dyDescent="0.2">
      <c r="A480" s="1">
        <v>34007601102</v>
      </c>
      <c r="B480" s="2" t="s">
        <v>204</v>
      </c>
      <c r="C480" s="2">
        <v>20428</v>
      </c>
      <c r="G480" t="str">
        <f t="shared" si="7"/>
        <v xml:space="preserve"> Camden</v>
      </c>
    </row>
    <row r="481" spans="1:7" x14ac:dyDescent="0.2">
      <c r="A481" s="1">
        <v>42101003701</v>
      </c>
      <c r="B481" s="2" t="s">
        <v>156</v>
      </c>
      <c r="C481" s="2">
        <v>20348</v>
      </c>
      <c r="G481" t="str">
        <f t="shared" si="7"/>
        <v xml:space="preserve"> Philadelphia</v>
      </c>
    </row>
    <row r="482" spans="1:7" x14ac:dyDescent="0.2">
      <c r="A482" s="1">
        <v>42101007400</v>
      </c>
      <c r="B482" s="2" t="s">
        <v>159</v>
      </c>
      <c r="C482" s="2">
        <v>20315</v>
      </c>
      <c r="G482" t="str">
        <f t="shared" si="7"/>
        <v xml:space="preserve"> Philadelphia</v>
      </c>
    </row>
    <row r="483" spans="1:7" x14ac:dyDescent="0.2">
      <c r="A483" s="1">
        <v>42101019700</v>
      </c>
      <c r="B483" s="2" t="s">
        <v>161</v>
      </c>
      <c r="C483" s="2">
        <v>20290</v>
      </c>
      <c r="G483" t="str">
        <f t="shared" si="7"/>
        <v xml:space="preserve"> Philadelphia</v>
      </c>
    </row>
    <row r="484" spans="1:7" x14ac:dyDescent="0.2">
      <c r="A484" s="1">
        <v>42101020200</v>
      </c>
      <c r="B484" s="2" t="s">
        <v>166</v>
      </c>
      <c r="C484" s="2">
        <v>20241</v>
      </c>
      <c r="G484" t="str">
        <f t="shared" si="7"/>
        <v xml:space="preserve"> Philadelphia</v>
      </c>
    </row>
    <row r="485" spans="1:7" hidden="1" x14ac:dyDescent="0.2">
      <c r="A485" s="1">
        <v>34007610300</v>
      </c>
      <c r="B485" s="2" t="s">
        <v>208</v>
      </c>
      <c r="C485" s="2">
        <v>20226</v>
      </c>
      <c r="G485" t="str">
        <f t="shared" si="7"/>
        <v xml:space="preserve"> Camden</v>
      </c>
    </row>
    <row r="486" spans="1:7" x14ac:dyDescent="0.2">
      <c r="A486" s="1">
        <v>42101029300</v>
      </c>
      <c r="B486" s="2" t="s">
        <v>218</v>
      </c>
      <c r="C486" s="2">
        <v>20013</v>
      </c>
      <c r="G486" t="str">
        <f t="shared" si="7"/>
        <v xml:space="preserve"> Philadelphia</v>
      </c>
    </row>
    <row r="487" spans="1:7" x14ac:dyDescent="0.2">
      <c r="A487" s="1">
        <v>42101017100</v>
      </c>
      <c r="B487" s="2" t="s">
        <v>171</v>
      </c>
      <c r="C487" s="2">
        <v>19996</v>
      </c>
      <c r="G487" t="str">
        <f t="shared" si="7"/>
        <v xml:space="preserve"> Philadelphia</v>
      </c>
    </row>
    <row r="488" spans="1:7" x14ac:dyDescent="0.2">
      <c r="A488" s="1">
        <v>42101008500</v>
      </c>
      <c r="B488" s="2" t="s">
        <v>196</v>
      </c>
      <c r="C488" s="2">
        <v>19994</v>
      </c>
      <c r="G488" t="str">
        <f t="shared" si="7"/>
        <v xml:space="preserve"> Philadelphia</v>
      </c>
    </row>
    <row r="489" spans="1:7" hidden="1" x14ac:dyDescent="0.2">
      <c r="A489" s="1">
        <v>34007601500</v>
      </c>
      <c r="B489" s="2" t="s">
        <v>192</v>
      </c>
      <c r="C489" s="2">
        <v>19971</v>
      </c>
      <c r="G489" t="str">
        <f t="shared" si="7"/>
        <v xml:space="preserve"> Camden</v>
      </c>
    </row>
    <row r="490" spans="1:7" x14ac:dyDescent="0.2">
      <c r="A490" s="1">
        <v>42101013100</v>
      </c>
      <c r="B490" s="2" t="s">
        <v>166</v>
      </c>
      <c r="C490" s="2">
        <v>19960</v>
      </c>
      <c r="G490" t="str">
        <f t="shared" si="7"/>
        <v xml:space="preserve"> Philadelphia</v>
      </c>
    </row>
    <row r="491" spans="1:7" x14ac:dyDescent="0.2">
      <c r="A491" s="1">
        <v>42101009600</v>
      </c>
      <c r="B491" s="2" t="s">
        <v>181</v>
      </c>
      <c r="C491" s="2">
        <v>19839</v>
      </c>
      <c r="G491" t="str">
        <f t="shared" si="7"/>
        <v xml:space="preserve"> Philadelphia</v>
      </c>
    </row>
    <row r="492" spans="1:7" x14ac:dyDescent="0.2">
      <c r="A492" s="1">
        <v>42101009400</v>
      </c>
      <c r="B492" s="2" t="s">
        <v>181</v>
      </c>
      <c r="C492" s="2">
        <v>19795</v>
      </c>
      <c r="G492" t="str">
        <f t="shared" si="7"/>
        <v xml:space="preserve"> Philadelphia</v>
      </c>
    </row>
    <row r="493" spans="1:7" hidden="1" x14ac:dyDescent="0.2">
      <c r="A493" s="1">
        <v>34007601101</v>
      </c>
      <c r="B493" s="2" t="s">
        <v>197</v>
      </c>
      <c r="C493" s="2">
        <v>19646</v>
      </c>
      <c r="G493" t="str">
        <f t="shared" si="7"/>
        <v xml:space="preserve"> Camden</v>
      </c>
    </row>
    <row r="494" spans="1:7" hidden="1" x14ac:dyDescent="0.2">
      <c r="A494" s="1">
        <v>34007600900</v>
      </c>
      <c r="B494" s="2" t="s">
        <v>195</v>
      </c>
      <c r="C494" s="2">
        <v>19638</v>
      </c>
      <c r="G494" t="str">
        <f t="shared" si="7"/>
        <v xml:space="preserve"> Camden</v>
      </c>
    </row>
    <row r="495" spans="1:7" x14ac:dyDescent="0.2">
      <c r="A495" s="1">
        <v>42101007102</v>
      </c>
      <c r="B495" s="2" t="s">
        <v>159</v>
      </c>
      <c r="C495" s="2">
        <v>19637</v>
      </c>
      <c r="G495" t="str">
        <f t="shared" si="7"/>
        <v xml:space="preserve"> Philadelphia</v>
      </c>
    </row>
    <row r="496" spans="1:7" x14ac:dyDescent="0.2">
      <c r="A496" s="1">
        <v>42101002200</v>
      </c>
      <c r="B496" s="2" t="s">
        <v>201</v>
      </c>
      <c r="C496" s="2">
        <v>19619</v>
      </c>
      <c r="G496" t="str">
        <f t="shared" si="7"/>
        <v xml:space="preserve"> Philadelphia</v>
      </c>
    </row>
    <row r="497" spans="1:7" x14ac:dyDescent="0.2">
      <c r="A497" s="1">
        <v>42101003100</v>
      </c>
      <c r="B497" s="2" t="s">
        <v>156</v>
      </c>
      <c r="C497" s="2">
        <v>19582</v>
      </c>
      <c r="G497" t="str">
        <f t="shared" si="7"/>
        <v xml:space="preserve"> Philadelphia</v>
      </c>
    </row>
    <row r="498" spans="1:7" x14ac:dyDescent="0.2">
      <c r="A498" s="1">
        <v>42101008602</v>
      </c>
      <c r="B498" s="2" t="s">
        <v>191</v>
      </c>
      <c r="C498" s="2">
        <v>19498</v>
      </c>
      <c r="G498" t="str">
        <f t="shared" si="7"/>
        <v xml:space="preserve"> Philadelphia</v>
      </c>
    </row>
    <row r="499" spans="1:7" x14ac:dyDescent="0.2">
      <c r="A499" s="1">
        <v>42101009200</v>
      </c>
      <c r="B499" s="2" t="s">
        <v>184</v>
      </c>
      <c r="C499" s="2">
        <v>19481</v>
      </c>
      <c r="G499" t="str">
        <f t="shared" si="7"/>
        <v xml:space="preserve"> Philadelphia</v>
      </c>
    </row>
    <row r="500" spans="1:7" x14ac:dyDescent="0.2">
      <c r="A500" s="1">
        <v>42101008301</v>
      </c>
      <c r="B500" s="2" t="s">
        <v>196</v>
      </c>
      <c r="C500" s="2">
        <v>19466</v>
      </c>
      <c r="G500" t="str">
        <f t="shared" si="7"/>
        <v xml:space="preserve"> Philadelphia</v>
      </c>
    </row>
    <row r="501" spans="1:7" x14ac:dyDescent="0.2">
      <c r="A501" s="1">
        <v>42101013200</v>
      </c>
      <c r="B501" s="2" t="s">
        <v>166</v>
      </c>
      <c r="C501" s="2">
        <v>19407</v>
      </c>
      <c r="G501" t="str">
        <f t="shared" si="7"/>
        <v xml:space="preserve"> Philadelphia</v>
      </c>
    </row>
    <row r="502" spans="1:7" x14ac:dyDescent="0.2">
      <c r="A502" s="1">
        <v>42101038300</v>
      </c>
      <c r="B502" s="2" t="s">
        <v>161</v>
      </c>
      <c r="C502" s="2">
        <v>19401</v>
      </c>
      <c r="G502" t="str">
        <f t="shared" si="7"/>
        <v xml:space="preserve"> Philadelphia</v>
      </c>
    </row>
    <row r="503" spans="1:7" x14ac:dyDescent="0.2">
      <c r="A503" s="1">
        <v>42101028000</v>
      </c>
      <c r="B503" s="2" t="s">
        <v>194</v>
      </c>
      <c r="C503" s="2">
        <v>19344</v>
      </c>
      <c r="G503" t="str">
        <f t="shared" si="7"/>
        <v xml:space="preserve"> Philadelphia</v>
      </c>
    </row>
    <row r="504" spans="1:7" x14ac:dyDescent="0.2">
      <c r="A504" s="1">
        <v>42101010300</v>
      </c>
      <c r="B504" s="2" t="s">
        <v>181</v>
      </c>
      <c r="C504" s="2">
        <v>19327</v>
      </c>
      <c r="G504" t="str">
        <f t="shared" si="7"/>
        <v xml:space="preserve"> Philadelphia</v>
      </c>
    </row>
    <row r="505" spans="1:7" x14ac:dyDescent="0.2">
      <c r="A505" s="1">
        <v>42101015101</v>
      </c>
      <c r="B505" s="2" t="s">
        <v>166</v>
      </c>
      <c r="C505" s="2">
        <v>19310</v>
      </c>
      <c r="G505" t="str">
        <f t="shared" si="7"/>
        <v xml:space="preserve"> Philadelphia</v>
      </c>
    </row>
    <row r="506" spans="1:7" x14ac:dyDescent="0.2">
      <c r="A506" s="1">
        <v>42101017800</v>
      </c>
      <c r="B506" s="2" t="s">
        <v>166</v>
      </c>
      <c r="C506" s="2">
        <v>19290</v>
      </c>
      <c r="G506" t="str">
        <f t="shared" si="7"/>
        <v xml:space="preserve"> Philadelphia</v>
      </c>
    </row>
    <row r="507" spans="1:7" x14ac:dyDescent="0.2">
      <c r="A507" s="1">
        <v>42101024700</v>
      </c>
      <c r="B507" s="2" t="s">
        <v>189</v>
      </c>
      <c r="C507" s="2">
        <v>19222</v>
      </c>
      <c r="G507" t="str">
        <f t="shared" si="7"/>
        <v xml:space="preserve"> Philadelphia</v>
      </c>
    </row>
    <row r="508" spans="1:7" x14ac:dyDescent="0.2">
      <c r="A508" s="1">
        <v>42101016901</v>
      </c>
      <c r="B508" s="2" t="s">
        <v>166</v>
      </c>
      <c r="C508" s="2">
        <v>19181</v>
      </c>
      <c r="G508" t="str">
        <f t="shared" si="7"/>
        <v xml:space="preserve"> Philadelphia</v>
      </c>
    </row>
    <row r="509" spans="1:7" x14ac:dyDescent="0.2">
      <c r="A509" s="1">
        <v>42101019900</v>
      </c>
      <c r="B509" s="2" t="s">
        <v>166</v>
      </c>
      <c r="C509" s="2">
        <v>19148</v>
      </c>
      <c r="G509" t="str">
        <f t="shared" si="7"/>
        <v xml:space="preserve"> Philadelphia</v>
      </c>
    </row>
    <row r="510" spans="1:7" hidden="1" x14ac:dyDescent="0.2">
      <c r="A510" s="1">
        <v>34007601400</v>
      </c>
      <c r="B510" s="2" t="s">
        <v>185</v>
      </c>
      <c r="C510" s="2">
        <v>19138</v>
      </c>
      <c r="G510" t="str">
        <f t="shared" si="7"/>
        <v xml:space="preserve"> Camden</v>
      </c>
    </row>
    <row r="511" spans="1:7" hidden="1" x14ac:dyDescent="0.2">
      <c r="A511" s="1">
        <v>34007610400</v>
      </c>
      <c r="B511" s="2" t="s">
        <v>187</v>
      </c>
      <c r="C511" s="2">
        <v>19130</v>
      </c>
      <c r="G511" t="str">
        <f t="shared" si="7"/>
        <v xml:space="preserve"> Camden</v>
      </c>
    </row>
    <row r="512" spans="1:7" x14ac:dyDescent="0.2">
      <c r="A512" s="1">
        <v>42101011100</v>
      </c>
      <c r="B512" s="2" t="s">
        <v>188</v>
      </c>
      <c r="C512" s="2">
        <v>19092</v>
      </c>
      <c r="G512" t="str">
        <f t="shared" si="7"/>
        <v xml:space="preserve"> Philadelphia</v>
      </c>
    </row>
    <row r="513" spans="1:7" hidden="1" x14ac:dyDescent="0.2">
      <c r="A513" s="1">
        <v>34007602000</v>
      </c>
      <c r="B513" s="2" t="s">
        <v>202</v>
      </c>
      <c r="C513" s="2">
        <v>19088</v>
      </c>
      <c r="G513" t="str">
        <f t="shared" si="7"/>
        <v xml:space="preserve"> Camden</v>
      </c>
    </row>
    <row r="514" spans="1:7" hidden="1" x14ac:dyDescent="0.2">
      <c r="A514" s="1">
        <v>34007601800</v>
      </c>
      <c r="B514" s="2" t="s">
        <v>179</v>
      </c>
      <c r="C514" s="2">
        <v>19005</v>
      </c>
      <c r="G514" t="str">
        <f t="shared" si="7"/>
        <v xml:space="preserve"> Camden</v>
      </c>
    </row>
    <row r="515" spans="1:7" x14ac:dyDescent="0.2">
      <c r="A515" s="1">
        <v>42101015300</v>
      </c>
      <c r="B515" s="2" t="s">
        <v>166</v>
      </c>
      <c r="C515" s="2">
        <v>18996</v>
      </c>
      <c r="G515" t="str">
        <f t="shared" ref="G515:G578" si="8">MID($B515, FIND(",",$B515)+1, FIND(",",$B515,FIND(",",$B515)+1) -1 -FIND(",",$B515))</f>
        <v xml:space="preserve"> Philadelphia</v>
      </c>
    </row>
    <row r="516" spans="1:7" x14ac:dyDescent="0.2">
      <c r="A516" s="1">
        <v>42101024600</v>
      </c>
      <c r="B516" s="2" t="s">
        <v>189</v>
      </c>
      <c r="C516" s="2">
        <v>18995</v>
      </c>
      <c r="G516" t="str">
        <f t="shared" si="8"/>
        <v xml:space="preserve"> Philadelphia</v>
      </c>
    </row>
    <row r="517" spans="1:7" x14ac:dyDescent="0.2">
      <c r="A517" s="1">
        <v>42101016100</v>
      </c>
      <c r="B517" s="2" t="s">
        <v>212</v>
      </c>
      <c r="C517" s="2">
        <v>18967</v>
      </c>
      <c r="G517" t="str">
        <f t="shared" si="8"/>
        <v xml:space="preserve"> Philadelphia</v>
      </c>
    </row>
    <row r="518" spans="1:7" x14ac:dyDescent="0.2">
      <c r="A518" s="1">
        <v>42101017702</v>
      </c>
      <c r="B518" s="2" t="s">
        <v>166</v>
      </c>
      <c r="C518" s="2">
        <v>18965</v>
      </c>
      <c r="G518" t="str">
        <f t="shared" si="8"/>
        <v xml:space="preserve"> Philadelphia</v>
      </c>
    </row>
    <row r="519" spans="1:7" x14ac:dyDescent="0.2">
      <c r="A519" s="1">
        <v>42101016800</v>
      </c>
      <c r="B519" s="2" t="s">
        <v>166</v>
      </c>
      <c r="C519" s="2">
        <v>18931</v>
      </c>
      <c r="G519" t="str">
        <f t="shared" si="8"/>
        <v xml:space="preserve"> Philadelphia</v>
      </c>
    </row>
    <row r="520" spans="1:7" hidden="1" x14ac:dyDescent="0.2">
      <c r="A520" s="1">
        <v>34007600200</v>
      </c>
      <c r="B520" s="2" t="s">
        <v>178</v>
      </c>
      <c r="C520" s="2">
        <v>18876</v>
      </c>
      <c r="G520" t="str">
        <f t="shared" si="8"/>
        <v xml:space="preserve"> Camden</v>
      </c>
    </row>
    <row r="521" spans="1:7" x14ac:dyDescent="0.2">
      <c r="A521" s="1">
        <v>42101013700</v>
      </c>
      <c r="B521" s="2" t="s">
        <v>182</v>
      </c>
      <c r="C521" s="2">
        <v>18850</v>
      </c>
      <c r="G521" t="str">
        <f t="shared" si="8"/>
        <v xml:space="preserve"> Philadelphia</v>
      </c>
    </row>
    <row r="522" spans="1:7" x14ac:dyDescent="0.2">
      <c r="A522" s="1">
        <v>42101010400</v>
      </c>
      <c r="B522" s="2" t="s">
        <v>186</v>
      </c>
      <c r="C522" s="2">
        <v>18819</v>
      </c>
      <c r="G522" t="str">
        <f t="shared" si="8"/>
        <v xml:space="preserve"> Philadelphia</v>
      </c>
    </row>
    <row r="523" spans="1:7" x14ac:dyDescent="0.2">
      <c r="A523" s="1">
        <v>42101019800</v>
      </c>
      <c r="B523" s="2" t="s">
        <v>161</v>
      </c>
      <c r="C523" s="2">
        <v>18803</v>
      </c>
      <c r="G523" t="str">
        <f t="shared" si="8"/>
        <v xml:space="preserve"> Philadelphia</v>
      </c>
    </row>
    <row r="524" spans="1:7" x14ac:dyDescent="0.2">
      <c r="A524" s="1">
        <v>42101020101</v>
      </c>
      <c r="B524" s="2" t="s">
        <v>166</v>
      </c>
      <c r="C524" s="2">
        <v>18749</v>
      </c>
      <c r="G524" t="str">
        <f t="shared" si="8"/>
        <v xml:space="preserve"> Philadelphia</v>
      </c>
    </row>
    <row r="525" spans="1:7" hidden="1" x14ac:dyDescent="0.2">
      <c r="A525" s="1">
        <v>34007600400</v>
      </c>
      <c r="B525" s="2" t="s">
        <v>193</v>
      </c>
      <c r="C525" s="2">
        <v>18548</v>
      </c>
      <c r="G525" t="str">
        <f t="shared" si="8"/>
        <v xml:space="preserve"> Camden</v>
      </c>
    </row>
    <row r="526" spans="1:7" x14ac:dyDescent="0.2">
      <c r="A526" s="1">
        <v>42101001900</v>
      </c>
      <c r="B526" s="2" t="s">
        <v>177</v>
      </c>
      <c r="C526" s="2">
        <v>18345</v>
      </c>
      <c r="G526" t="str">
        <f t="shared" si="8"/>
        <v xml:space="preserve"> Philadelphia</v>
      </c>
    </row>
    <row r="527" spans="1:7" x14ac:dyDescent="0.2">
      <c r="A527" s="1">
        <v>42101010700</v>
      </c>
      <c r="B527" s="2" t="s">
        <v>183</v>
      </c>
      <c r="C527" s="2">
        <v>18331</v>
      </c>
      <c r="G527" t="str">
        <f t="shared" si="8"/>
        <v xml:space="preserve"> Philadelphia</v>
      </c>
    </row>
    <row r="528" spans="1:7" x14ac:dyDescent="0.2">
      <c r="A528" s="1">
        <v>42101013900</v>
      </c>
      <c r="B528" s="2" t="s">
        <v>164</v>
      </c>
      <c r="C528" s="2">
        <v>18299</v>
      </c>
      <c r="G528" t="str">
        <f t="shared" si="8"/>
        <v xml:space="preserve"> Philadelphia</v>
      </c>
    </row>
    <row r="529" spans="1:7" x14ac:dyDescent="0.2">
      <c r="A529" s="1">
        <v>42101017300</v>
      </c>
      <c r="B529" s="2" t="s">
        <v>171</v>
      </c>
      <c r="C529" s="2">
        <v>18295</v>
      </c>
      <c r="G529" t="str">
        <f t="shared" si="8"/>
        <v xml:space="preserve"> Philadelphia</v>
      </c>
    </row>
    <row r="530" spans="1:7" x14ac:dyDescent="0.2">
      <c r="A530" s="1">
        <v>42101014900</v>
      </c>
      <c r="B530" s="2" t="s">
        <v>166</v>
      </c>
      <c r="C530" s="2">
        <v>18254</v>
      </c>
      <c r="G530" t="str">
        <f t="shared" si="8"/>
        <v xml:space="preserve"> Philadelphia</v>
      </c>
    </row>
    <row r="531" spans="1:7" x14ac:dyDescent="0.2">
      <c r="A531" s="1">
        <v>42101019502</v>
      </c>
      <c r="B531" s="2" t="s">
        <v>169</v>
      </c>
      <c r="C531" s="2">
        <v>18211</v>
      </c>
      <c r="G531" t="str">
        <f t="shared" si="8"/>
        <v xml:space="preserve"> Philadelphia</v>
      </c>
    </row>
    <row r="532" spans="1:7" hidden="1" x14ac:dyDescent="0.2">
      <c r="A532" s="1">
        <v>34007601600</v>
      </c>
      <c r="B532" s="2" t="s">
        <v>174</v>
      </c>
      <c r="C532" s="2">
        <v>18163</v>
      </c>
      <c r="G532" t="str">
        <f t="shared" si="8"/>
        <v xml:space="preserve"> Camden</v>
      </c>
    </row>
    <row r="533" spans="1:7" x14ac:dyDescent="0.2">
      <c r="A533" s="1">
        <v>42101016200</v>
      </c>
      <c r="B533" s="2" t="s">
        <v>190</v>
      </c>
      <c r="C533" s="2">
        <v>18080</v>
      </c>
      <c r="G533" t="str">
        <f t="shared" si="8"/>
        <v xml:space="preserve"> Philadelphia</v>
      </c>
    </row>
    <row r="534" spans="1:7" x14ac:dyDescent="0.2">
      <c r="A534" s="1">
        <v>42101000401</v>
      </c>
      <c r="B534" s="2" t="s">
        <v>235</v>
      </c>
      <c r="C534" s="2">
        <v>18063</v>
      </c>
      <c r="G534" t="str">
        <f t="shared" si="8"/>
        <v xml:space="preserve"> Philadelphia</v>
      </c>
    </row>
    <row r="535" spans="1:7" x14ac:dyDescent="0.2">
      <c r="A535" s="1">
        <v>42101016300</v>
      </c>
      <c r="B535" s="2" t="s">
        <v>166</v>
      </c>
      <c r="C535" s="2">
        <v>18058</v>
      </c>
      <c r="G535" t="str">
        <f t="shared" si="8"/>
        <v xml:space="preserve"> Philadelphia</v>
      </c>
    </row>
    <row r="536" spans="1:7" x14ac:dyDescent="0.2">
      <c r="A536" s="1">
        <v>42101020300</v>
      </c>
      <c r="B536" s="2" t="s">
        <v>166</v>
      </c>
      <c r="C536" s="2">
        <v>17954</v>
      </c>
      <c r="G536" t="str">
        <f t="shared" si="8"/>
        <v xml:space="preserve"> Philadelphia</v>
      </c>
    </row>
    <row r="537" spans="1:7" hidden="1" x14ac:dyDescent="0.2">
      <c r="A537" s="1">
        <v>34007601900</v>
      </c>
      <c r="B537" s="2" t="s">
        <v>180</v>
      </c>
      <c r="C537" s="2">
        <v>17910</v>
      </c>
      <c r="G537" t="str">
        <f t="shared" si="8"/>
        <v xml:space="preserve"> Camden</v>
      </c>
    </row>
    <row r="538" spans="1:7" x14ac:dyDescent="0.2">
      <c r="A538" s="1">
        <v>42101019501</v>
      </c>
      <c r="B538" s="2" t="s">
        <v>169</v>
      </c>
      <c r="C538" s="2">
        <v>17810</v>
      </c>
      <c r="G538" t="str">
        <f t="shared" si="8"/>
        <v xml:space="preserve"> Philadelphia</v>
      </c>
    </row>
    <row r="539" spans="1:7" x14ac:dyDescent="0.2">
      <c r="A539" s="1">
        <v>42101001400</v>
      </c>
      <c r="B539" s="2" t="s">
        <v>177</v>
      </c>
      <c r="C539" s="2">
        <v>17775</v>
      </c>
      <c r="G539" t="str">
        <f t="shared" si="8"/>
        <v xml:space="preserve"> Philadelphia</v>
      </c>
    </row>
    <row r="540" spans="1:7" x14ac:dyDescent="0.2">
      <c r="A540" s="1">
        <v>42101017202</v>
      </c>
      <c r="B540" s="2" t="s">
        <v>171</v>
      </c>
      <c r="C540" s="2">
        <v>17679</v>
      </c>
      <c r="G540" t="str">
        <f t="shared" si="8"/>
        <v xml:space="preserve"> Philadelphia</v>
      </c>
    </row>
    <row r="541" spans="1:7" x14ac:dyDescent="0.2">
      <c r="A541" s="1">
        <v>42101002000</v>
      </c>
      <c r="B541" s="2" t="s">
        <v>170</v>
      </c>
      <c r="C541" s="2">
        <v>17678</v>
      </c>
      <c r="G541" t="str">
        <f t="shared" si="8"/>
        <v xml:space="preserve"> Philadelphia</v>
      </c>
    </row>
    <row r="542" spans="1:7" x14ac:dyDescent="0.2">
      <c r="A542" s="1">
        <v>42101013800</v>
      </c>
      <c r="B542" s="2" t="s">
        <v>182</v>
      </c>
      <c r="C542" s="2">
        <v>17670</v>
      </c>
      <c r="G542" t="str">
        <f t="shared" si="8"/>
        <v xml:space="preserve"> Philadelphia</v>
      </c>
    </row>
    <row r="543" spans="1:7" x14ac:dyDescent="0.2">
      <c r="A543" s="1">
        <v>42101015200</v>
      </c>
      <c r="B543" s="2" t="s">
        <v>164</v>
      </c>
      <c r="C543" s="2">
        <v>17658</v>
      </c>
      <c r="G543" t="str">
        <f t="shared" si="8"/>
        <v xml:space="preserve"> Philadelphia</v>
      </c>
    </row>
    <row r="544" spans="1:7" x14ac:dyDescent="0.2">
      <c r="A544" s="1">
        <v>42101016500</v>
      </c>
      <c r="B544" s="2" t="s">
        <v>166</v>
      </c>
      <c r="C544" s="2">
        <v>17654</v>
      </c>
      <c r="G544" t="str">
        <f t="shared" si="8"/>
        <v xml:space="preserve"> Philadelphia</v>
      </c>
    </row>
    <row r="545" spans="1:7" x14ac:dyDescent="0.2">
      <c r="A545" s="1">
        <v>42101017601</v>
      </c>
      <c r="B545" s="2" t="s">
        <v>169</v>
      </c>
      <c r="C545" s="2">
        <v>17632</v>
      </c>
      <c r="G545" t="str">
        <f t="shared" si="8"/>
        <v xml:space="preserve"> Philadelphia</v>
      </c>
    </row>
    <row r="546" spans="1:7" x14ac:dyDescent="0.2">
      <c r="A546" s="1">
        <v>42101020400</v>
      </c>
      <c r="B546" s="2" t="s">
        <v>166</v>
      </c>
      <c r="C546" s="2">
        <v>17571</v>
      </c>
      <c r="G546" t="str">
        <f t="shared" si="8"/>
        <v xml:space="preserve"> Philadelphia</v>
      </c>
    </row>
    <row r="547" spans="1:7" x14ac:dyDescent="0.2">
      <c r="A547" s="1">
        <v>42101015102</v>
      </c>
      <c r="B547" s="2" t="s">
        <v>166</v>
      </c>
      <c r="C547" s="2">
        <v>17446</v>
      </c>
      <c r="G547" t="str">
        <f t="shared" si="8"/>
        <v xml:space="preserve"> Philadelphia</v>
      </c>
    </row>
    <row r="548" spans="1:7" x14ac:dyDescent="0.2">
      <c r="A548" s="1">
        <v>42101016600</v>
      </c>
      <c r="B548" s="2" t="s">
        <v>166</v>
      </c>
      <c r="C548" s="2">
        <v>17439</v>
      </c>
      <c r="G548" t="str">
        <f t="shared" si="8"/>
        <v xml:space="preserve"> Philadelphia</v>
      </c>
    </row>
    <row r="549" spans="1:7" x14ac:dyDescent="0.2">
      <c r="A549" s="1">
        <v>42101015600</v>
      </c>
      <c r="B549" s="2" t="s">
        <v>190</v>
      </c>
      <c r="C549" s="2">
        <v>17359</v>
      </c>
      <c r="G549" t="str">
        <f t="shared" si="8"/>
        <v xml:space="preserve"> Philadelphia</v>
      </c>
    </row>
    <row r="550" spans="1:7" x14ac:dyDescent="0.2">
      <c r="A550" s="1">
        <v>42101003200</v>
      </c>
      <c r="B550" s="2" t="s">
        <v>170</v>
      </c>
      <c r="C550" s="2">
        <v>17356</v>
      </c>
      <c r="G550" t="str">
        <f t="shared" si="8"/>
        <v xml:space="preserve"> Philadelphia</v>
      </c>
    </row>
    <row r="551" spans="1:7" x14ac:dyDescent="0.2">
      <c r="A551" s="1">
        <v>42101011000</v>
      </c>
      <c r="B551" s="2" t="s">
        <v>173</v>
      </c>
      <c r="C551" s="2">
        <v>17295</v>
      </c>
      <c r="G551" t="str">
        <f t="shared" si="8"/>
        <v xml:space="preserve"> Philadelphia</v>
      </c>
    </row>
    <row r="552" spans="1:7" x14ac:dyDescent="0.2">
      <c r="A552" s="1">
        <v>42101014000</v>
      </c>
      <c r="B552" s="2" t="s">
        <v>164</v>
      </c>
      <c r="C552" s="2">
        <v>17261</v>
      </c>
      <c r="G552" t="str">
        <f t="shared" si="8"/>
        <v xml:space="preserve"> Philadelphia</v>
      </c>
    </row>
    <row r="553" spans="1:7" hidden="1" x14ac:dyDescent="0.2">
      <c r="A553" s="1">
        <v>34007600800</v>
      </c>
      <c r="B553" s="2" t="s">
        <v>176</v>
      </c>
      <c r="C553" s="2">
        <v>17156</v>
      </c>
      <c r="G553" t="str">
        <f t="shared" si="8"/>
        <v xml:space="preserve"> Camden</v>
      </c>
    </row>
    <row r="554" spans="1:7" x14ac:dyDescent="0.2">
      <c r="A554" s="1">
        <v>42101017500</v>
      </c>
      <c r="B554" s="2" t="s">
        <v>169</v>
      </c>
      <c r="C554" s="2">
        <v>16902</v>
      </c>
      <c r="G554" t="str">
        <f t="shared" si="8"/>
        <v xml:space="preserve"> Philadelphia</v>
      </c>
    </row>
    <row r="555" spans="1:7" x14ac:dyDescent="0.2">
      <c r="A555" s="1">
        <v>42101010800</v>
      </c>
      <c r="B555" s="2" t="s">
        <v>175</v>
      </c>
      <c r="C555" s="2">
        <v>16803</v>
      </c>
      <c r="G555" t="str">
        <f t="shared" si="8"/>
        <v xml:space="preserve"> Philadelphia</v>
      </c>
    </row>
    <row r="556" spans="1:7" hidden="1" x14ac:dyDescent="0.2">
      <c r="A556" s="1">
        <v>34007601700</v>
      </c>
      <c r="B556" s="2" t="s">
        <v>167</v>
      </c>
      <c r="C556" s="2">
        <v>16713</v>
      </c>
      <c r="G556" t="str">
        <f t="shared" si="8"/>
        <v xml:space="preserve"> Camden</v>
      </c>
    </row>
    <row r="557" spans="1:7" x14ac:dyDescent="0.2">
      <c r="A557" s="1">
        <v>42101013300</v>
      </c>
      <c r="B557" s="2" t="s">
        <v>172</v>
      </c>
      <c r="C557" s="2">
        <v>16582</v>
      </c>
      <c r="G557" t="str">
        <f t="shared" si="8"/>
        <v xml:space="preserve"> Philadelphia</v>
      </c>
    </row>
    <row r="558" spans="1:7" x14ac:dyDescent="0.2">
      <c r="A558" s="1">
        <v>42101016902</v>
      </c>
      <c r="B558" s="2" t="s">
        <v>166</v>
      </c>
      <c r="C558" s="2">
        <v>16573</v>
      </c>
      <c r="G558" t="str">
        <f t="shared" si="8"/>
        <v xml:space="preserve"> Philadelphia</v>
      </c>
    </row>
    <row r="559" spans="1:7" x14ac:dyDescent="0.2">
      <c r="A559" s="1">
        <v>42101037700</v>
      </c>
      <c r="B559" s="2" t="s">
        <v>166</v>
      </c>
      <c r="C559" s="2">
        <v>16436</v>
      </c>
      <c r="G559" t="str">
        <f t="shared" si="8"/>
        <v xml:space="preserve"> Philadelphia</v>
      </c>
    </row>
    <row r="560" spans="1:7" x14ac:dyDescent="0.2">
      <c r="A560" s="1">
        <v>42101017400</v>
      </c>
      <c r="B560" s="2" t="s">
        <v>166</v>
      </c>
      <c r="C560" s="2">
        <v>16373</v>
      </c>
      <c r="G560" t="str">
        <f t="shared" si="8"/>
        <v xml:space="preserve"> Philadelphia</v>
      </c>
    </row>
    <row r="561" spans="1:7" x14ac:dyDescent="0.2">
      <c r="A561" s="1">
        <v>42101016400</v>
      </c>
      <c r="B561" s="2" t="s">
        <v>166</v>
      </c>
      <c r="C561" s="2">
        <v>16368</v>
      </c>
      <c r="G561" t="str">
        <f t="shared" si="8"/>
        <v xml:space="preserve"> Philadelphia</v>
      </c>
    </row>
    <row r="562" spans="1:7" x14ac:dyDescent="0.2">
      <c r="A562" s="1">
        <v>42101014700</v>
      </c>
      <c r="B562" s="2" t="s">
        <v>164</v>
      </c>
      <c r="C562" s="2">
        <v>16258</v>
      </c>
      <c r="G562" t="str">
        <f t="shared" si="8"/>
        <v xml:space="preserve"> Philadelphia</v>
      </c>
    </row>
    <row r="563" spans="1:7" x14ac:dyDescent="0.2">
      <c r="A563" s="1">
        <v>42101020000</v>
      </c>
      <c r="B563" s="2" t="s">
        <v>166</v>
      </c>
      <c r="C563" s="2">
        <v>16017</v>
      </c>
      <c r="G563" t="str">
        <f t="shared" si="8"/>
        <v xml:space="preserve"> Philadelphia</v>
      </c>
    </row>
    <row r="564" spans="1:7" x14ac:dyDescent="0.2">
      <c r="A564" s="1">
        <v>42101014100</v>
      </c>
      <c r="B564" s="2" t="s">
        <v>165</v>
      </c>
      <c r="C564" s="2">
        <v>16016</v>
      </c>
      <c r="G564" t="str">
        <f t="shared" si="8"/>
        <v xml:space="preserve"> Philadelphia</v>
      </c>
    </row>
    <row r="565" spans="1:7" x14ac:dyDescent="0.2">
      <c r="A565" s="1">
        <v>42101016701</v>
      </c>
      <c r="B565" s="2" t="s">
        <v>166</v>
      </c>
      <c r="C565" s="2">
        <v>15957</v>
      </c>
      <c r="G565" t="str">
        <f t="shared" si="8"/>
        <v xml:space="preserve"> Philadelphia</v>
      </c>
    </row>
    <row r="566" spans="1:7" x14ac:dyDescent="0.2">
      <c r="A566" s="1">
        <v>42101016702</v>
      </c>
      <c r="B566" s="2" t="s">
        <v>163</v>
      </c>
      <c r="C566" s="2">
        <v>15837</v>
      </c>
      <c r="G566" t="str">
        <f t="shared" si="8"/>
        <v xml:space="preserve"> Philadelphia</v>
      </c>
    </row>
    <row r="567" spans="1:7" x14ac:dyDescent="0.2">
      <c r="A567" s="1">
        <v>42101014800</v>
      </c>
      <c r="B567" s="2" t="s">
        <v>164</v>
      </c>
      <c r="C567" s="2">
        <v>15643</v>
      </c>
      <c r="G567" t="str">
        <f t="shared" si="8"/>
        <v xml:space="preserve"> Philadelphia</v>
      </c>
    </row>
    <row r="568" spans="1:7" x14ac:dyDescent="0.2">
      <c r="A568" s="1">
        <v>42101017602</v>
      </c>
      <c r="B568" s="2" t="s">
        <v>169</v>
      </c>
      <c r="C568" s="2">
        <v>15534</v>
      </c>
      <c r="G568" t="str">
        <f t="shared" si="8"/>
        <v xml:space="preserve"> Philadelphia</v>
      </c>
    </row>
    <row r="569" spans="1:7" x14ac:dyDescent="0.2">
      <c r="A569" s="1">
        <v>42101014500</v>
      </c>
      <c r="B569" s="2" t="s">
        <v>165</v>
      </c>
      <c r="C569" s="2">
        <v>15433</v>
      </c>
      <c r="G569" t="str">
        <f t="shared" si="8"/>
        <v xml:space="preserve"> Philadelphia</v>
      </c>
    </row>
    <row r="570" spans="1:7" hidden="1" x14ac:dyDescent="0.2">
      <c r="A570" s="1">
        <v>34007600700</v>
      </c>
      <c r="B570" s="2" t="s">
        <v>168</v>
      </c>
      <c r="C570" s="2">
        <v>15134</v>
      </c>
      <c r="G570" t="str">
        <f t="shared" si="8"/>
        <v xml:space="preserve"> Camden</v>
      </c>
    </row>
    <row r="571" spans="1:7" x14ac:dyDescent="0.2">
      <c r="A571" s="1">
        <v>42101980500</v>
      </c>
      <c r="B571" s="2" t="s">
        <v>161</v>
      </c>
      <c r="C571" s="3"/>
      <c r="G571" t="str">
        <f t="shared" si="8"/>
        <v xml:space="preserve"> Philadelphia</v>
      </c>
    </row>
    <row r="572" spans="1:7" x14ac:dyDescent="0.2">
      <c r="A572" s="1">
        <v>42101980800</v>
      </c>
      <c r="B572" s="2" t="s">
        <v>160</v>
      </c>
      <c r="C572" s="3"/>
      <c r="G572" t="str">
        <f t="shared" si="8"/>
        <v xml:space="preserve"> Philadelphia</v>
      </c>
    </row>
    <row r="573" spans="1:7" x14ac:dyDescent="0.2">
      <c r="A573" s="1">
        <v>42101980400</v>
      </c>
      <c r="B573" s="2" t="s">
        <v>159</v>
      </c>
      <c r="C573" s="3"/>
      <c r="G573" t="str">
        <f t="shared" si="8"/>
        <v xml:space="preserve"> Philadelphia</v>
      </c>
    </row>
    <row r="574" spans="1:7" x14ac:dyDescent="0.2">
      <c r="A574" s="1">
        <v>42101980100</v>
      </c>
      <c r="B574" s="2" t="s">
        <v>158</v>
      </c>
      <c r="C574" s="3"/>
      <c r="G574" t="str">
        <f t="shared" si="8"/>
        <v xml:space="preserve"> Philadelphia</v>
      </c>
    </row>
    <row r="575" spans="1:7" x14ac:dyDescent="0.2">
      <c r="A575" s="1">
        <v>42101980900</v>
      </c>
      <c r="B575" s="2" t="s">
        <v>157</v>
      </c>
      <c r="C575" s="3"/>
      <c r="G575" t="str">
        <f t="shared" si="8"/>
        <v xml:space="preserve"> Philadelphia</v>
      </c>
    </row>
    <row r="576" spans="1:7" x14ac:dyDescent="0.2">
      <c r="A576" s="1">
        <v>42101980600</v>
      </c>
      <c r="B576" s="2" t="s">
        <v>156</v>
      </c>
      <c r="C576" s="3"/>
      <c r="G576" t="str">
        <f t="shared" si="8"/>
        <v xml:space="preserve"> Philadelphia</v>
      </c>
    </row>
    <row r="577" spans="1:7" x14ac:dyDescent="0.2">
      <c r="A577" s="1">
        <v>42101980700</v>
      </c>
      <c r="B577" s="2" t="s">
        <v>156</v>
      </c>
      <c r="C577" s="3"/>
      <c r="G577" t="str">
        <f t="shared" si="8"/>
        <v xml:space="preserve"> Philadelphia</v>
      </c>
    </row>
    <row r="578" spans="1:7" x14ac:dyDescent="0.2">
      <c r="A578" s="1">
        <v>42101980300</v>
      </c>
      <c r="B578" s="2" t="s">
        <v>155</v>
      </c>
      <c r="C578" s="3"/>
      <c r="G578" t="str">
        <f t="shared" si="8"/>
        <v xml:space="preserve"> Philadelphia</v>
      </c>
    </row>
    <row r="579" spans="1:7" x14ac:dyDescent="0.2">
      <c r="A579" s="1">
        <v>42101989100</v>
      </c>
      <c r="B579" s="2" t="s">
        <v>154</v>
      </c>
      <c r="C579" s="3"/>
      <c r="G579" t="str">
        <f>MID($B579, FIND(",",$B579)+1, FIND(",",$B579,FIND(",",$B579)+1) -1 -FIND(",",$B579))</f>
        <v xml:space="preserve"> Philadelphia</v>
      </c>
    </row>
    <row r="580" spans="1:7" x14ac:dyDescent="0.2">
      <c r="A580" s="1">
        <v>42101012203</v>
      </c>
      <c r="B580" s="2" t="s">
        <v>153</v>
      </c>
      <c r="C580" s="3"/>
      <c r="G580" t="str">
        <f>MID($B580, FIND(",",$B580)+1, FIND(",",$B580,FIND(",",$B580)+1) -1 -FIND(",",$B580))</f>
        <v xml:space="preserve"> Philadelphia</v>
      </c>
    </row>
    <row r="581" spans="1:7" x14ac:dyDescent="0.2">
      <c r="A581" s="1">
        <v>42101980000</v>
      </c>
      <c r="B581" s="2" t="s">
        <v>152</v>
      </c>
      <c r="C581" s="3"/>
      <c r="G581" t="str">
        <f>MID($B581, FIND(",",$B581)+1, FIND(",",$B581,FIND(",",$B581)+1) -1 -FIND(",",$B581))</f>
        <v xml:space="preserve"> Philadelphia</v>
      </c>
    </row>
  </sheetData>
  <autoFilter ref="G2:G581" xr:uid="{00000000-0009-0000-0000-000001000000}">
    <filterColumn colId="0">
      <filters>
        <filter val="Philadelphia"/>
      </filters>
    </filterColumn>
  </autoFilter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P_pivot FINAL</vt:lpstr>
      <vt:lpstr>B_pivot FINAL</vt:lpstr>
      <vt:lpstr>Philadelphia FINAL</vt:lpstr>
      <vt:lpstr>Baltimore FINAL</vt:lpstr>
      <vt:lpstr>Philly</vt:lpstr>
      <vt:lpstr>Bmore</vt:lpstr>
      <vt:lpstr>bmore_income</vt:lpstr>
      <vt:lpstr>Philly_income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2020-02-14T05:08:06Z</dcterms:created>
  <dcterms:modified xsi:type="dcterms:W3CDTF">2020-02-14T09:55:41Z</dcterms:modified>
</cp:coreProperties>
</file>